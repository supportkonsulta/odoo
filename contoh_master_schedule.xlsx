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IF - ASBUILD PERPUS\EXECUTION\"/>
    </mc:Choice>
  </mc:AlternateContent>
  <bookViews>
    <workbookView xWindow="0" yWindow="0" windowWidth="19200" windowHeight="6470" tabRatio="599"/>
  </bookViews>
  <sheets>
    <sheet name="COVER" sheetId="1" r:id="rId1"/>
    <sheet name="CURVA S" sheetId="4" state="hidden" r:id="rId2"/>
    <sheet name="CURVA S (2)" sheetId="15" state="hidden" r:id="rId3"/>
    <sheet name="CURVA S Rev 1" sheetId="21" r:id="rId4"/>
    <sheet name="RESUME HARIAN" sheetId="6" r:id="rId5"/>
  </sheets>
  <definedNames>
    <definedName name="_xlnm.Print_Area" localSheetId="0">COVER!$A$1:$U$38</definedName>
    <definedName name="_xlnm.Print_Area" localSheetId="1">'CURVA S'!$A$1:$Y$53</definedName>
    <definedName name="_xlnm.Print_Area" localSheetId="2">'CURVA S (2)'!$A$1:$Z$53</definedName>
    <definedName name="_xlnm.Print_Area" localSheetId="3">'CURVA S Rev 1'!$A$1:$X$44</definedName>
    <definedName name="_xlnm.Print_Area" localSheetId="4">'RESUME HARIAN'!$A$1:$L$43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6" l="1"/>
  <c r="K34" i="6"/>
  <c r="D10" i="6"/>
  <c r="D9" i="6"/>
  <c r="D8" i="6"/>
  <c r="E8" i="21"/>
  <c r="E10" i="21"/>
  <c r="T44" i="21"/>
  <c r="T43" i="21"/>
  <c r="G18" i="1"/>
  <c r="S30" i="21"/>
  <c r="R30" i="21"/>
  <c r="Q30" i="21"/>
  <c r="N30" i="21"/>
  <c r="M30" i="21"/>
  <c r="J30" i="21"/>
  <c r="I30" i="21"/>
  <c r="H30" i="21"/>
  <c r="G30" i="21"/>
  <c r="F30" i="21"/>
  <c r="E30" i="21"/>
  <c r="E31" i="21" s="1"/>
  <c r="F31" i="21" s="1"/>
  <c r="G31" i="21" s="1"/>
  <c r="H31" i="21" s="1"/>
  <c r="I31" i="21" s="1"/>
  <c r="J31" i="21" s="1"/>
  <c r="D30" i="21"/>
  <c r="T28" i="21"/>
  <c r="T26" i="21"/>
  <c r="T25" i="21"/>
  <c r="R25" i="21"/>
  <c r="Q25" i="21"/>
  <c r="P25" i="21"/>
  <c r="P30" i="21" s="1"/>
  <c r="O25" i="21"/>
  <c r="O30" i="21" s="1"/>
  <c r="N25" i="21"/>
  <c r="M25" i="21"/>
  <c r="L25" i="21"/>
  <c r="L30" i="21" s="1"/>
  <c r="K25" i="21"/>
  <c r="K30" i="21" s="1"/>
  <c r="T23" i="21"/>
  <c r="T22" i="21"/>
  <c r="T21" i="21"/>
  <c r="T20" i="21"/>
  <c r="T18" i="21"/>
  <c r="T17" i="21"/>
  <c r="T16" i="21"/>
  <c r="T15" i="21"/>
  <c r="T30" i="21" s="1"/>
  <c r="G13" i="21"/>
  <c r="H13" i="21" s="1"/>
  <c r="I13" i="21" s="1"/>
  <c r="J13" i="21" s="1"/>
  <c r="F13" i="21"/>
  <c r="K31" i="21" l="1"/>
  <c r="L31" i="21" s="1"/>
  <c r="M31" i="21" s="1"/>
  <c r="N31" i="21" s="1"/>
  <c r="O31" i="21" s="1"/>
  <c r="P31" i="21" s="1"/>
  <c r="Q31" i="21" s="1"/>
  <c r="R31" i="21" s="1"/>
  <c r="S31" i="21" s="1"/>
  <c r="H27" i="6" l="1"/>
  <c r="H25" i="6"/>
  <c r="H23" i="6"/>
  <c r="H22" i="6"/>
  <c r="H21" i="6"/>
  <c r="H20" i="6"/>
  <c r="H19" i="6"/>
  <c r="H18" i="6"/>
  <c r="H16" i="6"/>
  <c r="F42" i="6" l="1"/>
  <c r="F41" i="6"/>
  <c r="F35" i="6"/>
  <c r="B42" i="6"/>
  <c r="B41" i="6"/>
  <c r="B35" i="6"/>
  <c r="H15" i="6" l="1"/>
  <c r="J23" i="6"/>
  <c r="I23" i="6"/>
  <c r="J22" i="6"/>
  <c r="I22" i="6"/>
  <c r="J21" i="6"/>
  <c r="I21" i="6"/>
  <c r="J20" i="6"/>
  <c r="I20" i="6"/>
  <c r="J19" i="6"/>
  <c r="I19" i="6"/>
  <c r="J18" i="6"/>
  <c r="I18" i="6"/>
  <c r="I17" i="6"/>
  <c r="J16" i="6"/>
  <c r="I16" i="6"/>
  <c r="K19" i="6" l="1"/>
  <c r="K21" i="6"/>
  <c r="K16" i="6"/>
  <c r="K18" i="6"/>
  <c r="K20" i="6"/>
  <c r="K22" i="6"/>
  <c r="K23" i="6"/>
  <c r="I15" i="6" l="1"/>
  <c r="W44" i="15" l="1"/>
  <c r="D36" i="15"/>
  <c r="G30" i="15"/>
  <c r="H27" i="15"/>
  <c r="G27" i="15"/>
  <c r="G24" i="15"/>
  <c r="G22" i="15"/>
  <c r="H22" i="15" s="1"/>
  <c r="K20" i="15"/>
  <c r="J21" i="15" s="1"/>
  <c r="Z18" i="15"/>
  <c r="Z19" i="15" s="1"/>
  <c r="H18" i="15"/>
  <c r="H19" i="15" s="1"/>
  <c r="G16" i="15"/>
  <c r="H16" i="15" s="1"/>
  <c r="H17" i="15" s="1"/>
  <c r="P14" i="15"/>
  <c r="Q14" i="15" s="1"/>
  <c r="R14" i="15" s="1"/>
  <c r="S14" i="15" s="1"/>
  <c r="T14" i="15" s="1"/>
  <c r="M14" i="15"/>
  <c r="N14" i="15" s="1"/>
  <c r="H14" i="15"/>
  <c r="I14" i="15" s="1"/>
  <c r="J14" i="15" s="1"/>
  <c r="E10" i="15"/>
  <c r="E8" i="15"/>
  <c r="C5" i="15"/>
  <c r="I16" i="15" l="1"/>
  <c r="J16" i="15" s="1"/>
  <c r="L20" i="15"/>
  <c r="M20" i="15" s="1"/>
  <c r="X19" i="15"/>
  <c r="K21" i="15"/>
  <c r="K16" i="15"/>
  <c r="J17" i="15"/>
  <c r="I17" i="15"/>
  <c r="Z20" i="15"/>
  <c r="X20" i="15"/>
  <c r="G31" i="15"/>
  <c r="G37" i="15"/>
  <c r="G38" i="15" s="1"/>
  <c r="H30" i="15"/>
  <c r="H23" i="15"/>
  <c r="I22" i="15"/>
  <c r="H28" i="15"/>
  <c r="I27" i="15"/>
  <c r="H21" i="15"/>
  <c r="L21" i="15"/>
  <c r="G17" i="15"/>
  <c r="I21" i="15"/>
  <c r="I18" i="15"/>
  <c r="H24" i="15"/>
  <c r="M21" i="15" l="1"/>
  <c r="N20" i="15"/>
  <c r="I28" i="15"/>
  <c r="J27" i="15"/>
  <c r="Z21" i="15"/>
  <c r="X21" i="15"/>
  <c r="H25" i="15"/>
  <c r="I24" i="15"/>
  <c r="I19" i="15"/>
  <c r="J18" i="15"/>
  <c r="I23" i="15"/>
  <c r="J22" i="15"/>
  <c r="H31" i="15"/>
  <c r="H37" i="15"/>
  <c r="H38" i="15" s="1"/>
  <c r="I30" i="15"/>
  <c r="G40" i="15"/>
  <c r="G39" i="15"/>
  <c r="L16" i="15"/>
  <c r="K17" i="15"/>
  <c r="H39" i="15" l="1"/>
  <c r="N21" i="15"/>
  <c r="O20" i="15"/>
  <c r="P20" i="15" s="1"/>
  <c r="Q20" i="15"/>
  <c r="J19" i="15"/>
  <c r="K18" i="15"/>
  <c r="J23" i="15"/>
  <c r="K22" i="15"/>
  <c r="L17" i="15"/>
  <c r="M16" i="15"/>
  <c r="M17" i="15" s="1"/>
  <c r="I37" i="15"/>
  <c r="I38" i="15" s="1"/>
  <c r="J30" i="15"/>
  <c r="I31" i="15"/>
  <c r="G41" i="15"/>
  <c r="H40" i="15"/>
  <c r="J28" i="15"/>
  <c r="K27" i="15"/>
  <c r="I25" i="15"/>
  <c r="J24" i="15"/>
  <c r="Z22" i="15"/>
  <c r="X22" i="15"/>
  <c r="X23" i="15" l="1"/>
  <c r="Z23" i="15"/>
  <c r="J25" i="15"/>
  <c r="K24" i="15"/>
  <c r="J37" i="15"/>
  <c r="J38" i="15" s="1"/>
  <c r="J31" i="15"/>
  <c r="K30" i="15"/>
  <c r="K23" i="15"/>
  <c r="L22" i="15"/>
  <c r="AB21" i="15"/>
  <c r="V21" i="15"/>
  <c r="N16" i="15"/>
  <c r="N17" i="15" s="1"/>
  <c r="K19" i="15"/>
  <c r="L18" i="15"/>
  <c r="L27" i="15"/>
  <c r="K28" i="15"/>
  <c r="H41" i="15"/>
  <c r="I39" i="15"/>
  <c r="I40" i="15" s="1"/>
  <c r="R20" i="15"/>
  <c r="J39" i="15" l="1"/>
  <c r="J40" i="15" s="1"/>
  <c r="I41" i="15"/>
  <c r="K31" i="15"/>
  <c r="K37" i="15"/>
  <c r="K38" i="15" s="1"/>
  <c r="L30" i="15"/>
  <c r="V20" i="15"/>
  <c r="AB20" i="15"/>
  <c r="O16" i="15"/>
  <c r="L23" i="15"/>
  <c r="M22" i="15"/>
  <c r="M23" i="15" s="1"/>
  <c r="K25" i="15"/>
  <c r="L24" i="15"/>
  <c r="L28" i="15"/>
  <c r="M27" i="15"/>
  <c r="M28" i="15" s="1"/>
  <c r="Z24" i="15"/>
  <c r="X24" i="15"/>
  <c r="M18" i="15"/>
  <c r="M19" i="15" s="1"/>
  <c r="J41" i="15" l="1"/>
  <c r="L25" i="15"/>
  <c r="M24" i="15"/>
  <c r="M25" i="15" s="1"/>
  <c r="K39" i="15"/>
  <c r="K40" i="15" s="1"/>
  <c r="N27" i="15"/>
  <c r="N28" i="15" s="1"/>
  <c r="N22" i="15"/>
  <c r="N23" i="15" s="1"/>
  <c r="L31" i="15"/>
  <c r="L37" i="15"/>
  <c r="L38" i="15" s="1"/>
  <c r="M30" i="15"/>
  <c r="M31" i="15" s="1"/>
  <c r="N18" i="15"/>
  <c r="N19" i="15" s="1"/>
  <c r="Z25" i="15"/>
  <c r="X25" i="15"/>
  <c r="P16" i="15"/>
  <c r="M39" i="15" l="1"/>
  <c r="M37" i="15"/>
  <c r="M38" i="15" s="1"/>
  <c r="N30" i="15"/>
  <c r="N31" i="15" s="1"/>
  <c r="O18" i="15"/>
  <c r="O22" i="15"/>
  <c r="N24" i="15"/>
  <c r="N25" i="15" s="1"/>
  <c r="K41" i="15"/>
  <c r="Z26" i="15"/>
  <c r="X26" i="15"/>
  <c r="L39" i="15"/>
  <c r="L40" i="15" s="1"/>
  <c r="O27" i="15"/>
  <c r="Q16" i="15"/>
  <c r="N39" i="15" l="1"/>
  <c r="M40" i="15"/>
  <c r="M41" i="15" s="1"/>
  <c r="O24" i="15"/>
  <c r="O30" i="15"/>
  <c r="N37" i="15"/>
  <c r="N38" i="15" s="1"/>
  <c r="P27" i="15"/>
  <c r="Z27" i="15"/>
  <c r="X27" i="15"/>
  <c r="R16" i="15"/>
  <c r="L41" i="15"/>
  <c r="P22" i="15"/>
  <c r="P18" i="15"/>
  <c r="N40" i="15" l="1"/>
  <c r="N41" i="15" s="1"/>
  <c r="X28" i="15"/>
  <c r="Z28" i="15"/>
  <c r="Q18" i="15"/>
  <c r="V18" i="15" s="1"/>
  <c r="S16" i="15"/>
  <c r="Q27" i="15"/>
  <c r="O37" i="15"/>
  <c r="O38" i="15" s="1"/>
  <c r="P30" i="15"/>
  <c r="Q22" i="15"/>
  <c r="P24" i="15"/>
  <c r="P37" i="15" l="1"/>
  <c r="P38" i="15" s="1"/>
  <c r="Q30" i="15"/>
  <c r="Q24" i="15"/>
  <c r="Z29" i="15"/>
  <c r="X29" i="15"/>
  <c r="R22" i="15"/>
  <c r="T16" i="15"/>
  <c r="R27" i="15"/>
  <c r="AB18" i="15"/>
  <c r="Q37" i="15" l="1"/>
  <c r="Q38" i="15" s="1"/>
  <c r="R30" i="15"/>
  <c r="V19" i="15"/>
  <c r="AB19" i="15"/>
  <c r="S27" i="15"/>
  <c r="X30" i="15"/>
  <c r="Z30" i="15"/>
  <c r="S22" i="15"/>
  <c r="R24" i="15"/>
  <c r="V16" i="15"/>
  <c r="AB16" i="15"/>
  <c r="R37" i="15" l="1"/>
  <c r="R38" i="15" s="1"/>
  <c r="S30" i="15"/>
  <c r="S24" i="15"/>
  <c r="T27" i="15"/>
  <c r="AB17" i="15"/>
  <c r="V17" i="15"/>
  <c r="T22" i="15"/>
  <c r="Z31" i="15"/>
  <c r="X31" i="15"/>
  <c r="X32" i="15" l="1"/>
  <c r="Z32" i="15"/>
  <c r="X33" i="15" s="1"/>
  <c r="Z33" i="15" s="1"/>
  <c r="T24" i="15"/>
  <c r="V22" i="15"/>
  <c r="AB22" i="15"/>
  <c r="V27" i="15"/>
  <c r="AB27" i="15"/>
  <c r="S37" i="15"/>
  <c r="S38" i="15" s="1"/>
  <c r="T30" i="15"/>
  <c r="AB23" i="15" l="1"/>
  <c r="V23" i="15"/>
  <c r="AB24" i="15"/>
  <c r="V24" i="15"/>
  <c r="T37" i="15"/>
  <c r="T38" i="15" s="1"/>
  <c r="AB30" i="15"/>
  <c r="V30" i="15"/>
  <c r="V28" i="15"/>
  <c r="AB28" i="15"/>
  <c r="V25" i="15" l="1"/>
  <c r="AB25" i="15"/>
  <c r="AB31" i="15"/>
  <c r="V31" i="15"/>
  <c r="F29" i="6" l="1"/>
  <c r="J15" i="6" l="1"/>
  <c r="K15" i="6" s="1"/>
  <c r="J27" i="6"/>
  <c r="I27" i="6"/>
  <c r="I25" i="6"/>
  <c r="K27" i="6" l="1"/>
  <c r="K20" i="4"/>
  <c r="L20" i="4"/>
  <c r="L21" i="4" l="1"/>
  <c r="M20" i="4"/>
  <c r="N20" i="4" s="1"/>
  <c r="O20" i="4" s="1"/>
  <c r="P20" i="4" s="1"/>
  <c r="Q20" i="4" s="1"/>
  <c r="R20" i="4" s="1"/>
  <c r="K21" i="4"/>
  <c r="J21" i="4"/>
  <c r="I21" i="4"/>
  <c r="J25" i="6"/>
  <c r="K25" i="6" s="1"/>
  <c r="AA20" i="4" l="1"/>
  <c r="V44" i="4"/>
  <c r="H21" i="4" l="1"/>
  <c r="AA21" i="4" s="1"/>
  <c r="E10" i="4" l="1"/>
  <c r="E8" i="4"/>
  <c r="E29" i="6"/>
  <c r="G30" i="4"/>
  <c r="G27" i="4"/>
  <c r="G24" i="4"/>
  <c r="G22" i="4"/>
  <c r="H18" i="4"/>
  <c r="H19" i="4" l="1"/>
  <c r="H24" i="4"/>
  <c r="H30" i="4"/>
  <c r="G31" i="4"/>
  <c r="H22" i="4"/>
  <c r="I18" i="4"/>
  <c r="H27" i="4"/>
  <c r="I29" i="6"/>
  <c r="G16" i="4"/>
  <c r="G37" i="4" s="1"/>
  <c r="D36" i="4"/>
  <c r="Y18" i="4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I19" i="4" l="1"/>
  <c r="J18" i="4"/>
  <c r="I24" i="4"/>
  <c r="H25" i="4"/>
  <c r="I27" i="4"/>
  <c r="H28" i="4"/>
  <c r="I22" i="4"/>
  <c r="H23" i="4"/>
  <c r="G39" i="4"/>
  <c r="G40" i="4"/>
  <c r="G17" i="4"/>
  <c r="H16" i="4"/>
  <c r="I30" i="4"/>
  <c r="H37" i="4"/>
  <c r="H31" i="4"/>
  <c r="W21" i="4"/>
  <c r="W19" i="4"/>
  <c r="W20" i="4"/>
  <c r="J24" i="4" l="1"/>
  <c r="I25" i="4"/>
  <c r="H17" i="4"/>
  <c r="H39" i="4" s="1"/>
  <c r="H40" i="4" s="1"/>
  <c r="I16" i="4"/>
  <c r="J22" i="4"/>
  <c r="I23" i="4"/>
  <c r="I31" i="4"/>
  <c r="J30" i="4"/>
  <c r="I37" i="4"/>
  <c r="J19" i="4"/>
  <c r="K18" i="4"/>
  <c r="J27" i="4"/>
  <c r="I28" i="4"/>
  <c r="W22" i="4"/>
  <c r="K19" i="4" l="1"/>
  <c r="L18" i="4"/>
  <c r="J25" i="4"/>
  <c r="K24" i="4"/>
  <c r="J31" i="4"/>
  <c r="K30" i="4"/>
  <c r="I17" i="4"/>
  <c r="I39" i="4" s="1"/>
  <c r="I40" i="4" s="1"/>
  <c r="J16" i="4"/>
  <c r="J28" i="4"/>
  <c r="K27" i="4"/>
  <c r="J23" i="4"/>
  <c r="K22" i="4"/>
  <c r="W23" i="4"/>
  <c r="K28" i="4" l="1"/>
  <c r="L27" i="4"/>
  <c r="M18" i="4"/>
  <c r="N18" i="4" s="1"/>
  <c r="O18" i="4" s="1"/>
  <c r="P18" i="4" s="1"/>
  <c r="Q18" i="4" s="1"/>
  <c r="L19" i="4"/>
  <c r="AA19" i="4" s="1"/>
  <c r="L30" i="4"/>
  <c r="K31" i="4"/>
  <c r="J17" i="4"/>
  <c r="K16" i="4"/>
  <c r="K37" i="4" s="1"/>
  <c r="K23" i="4"/>
  <c r="L22" i="4"/>
  <c r="J37" i="4"/>
  <c r="K25" i="4"/>
  <c r="L24" i="4"/>
  <c r="W24" i="4"/>
  <c r="AA18" i="4" l="1"/>
  <c r="J39" i="4"/>
  <c r="J40" i="4" s="1"/>
  <c r="M27" i="4"/>
  <c r="N27" i="4" s="1"/>
  <c r="O27" i="4" s="1"/>
  <c r="P27" i="4" s="1"/>
  <c r="Q27" i="4" s="1"/>
  <c r="R27" i="4" s="1"/>
  <c r="S27" i="4" s="1"/>
  <c r="T27" i="4" s="1"/>
  <c r="L28" i="4"/>
  <c r="AA28" i="4" s="1"/>
  <c r="M22" i="4"/>
  <c r="N22" i="4" s="1"/>
  <c r="O22" i="4" s="1"/>
  <c r="P22" i="4" s="1"/>
  <c r="Q22" i="4" s="1"/>
  <c r="R22" i="4" s="1"/>
  <c r="S22" i="4" s="1"/>
  <c r="T22" i="4" s="1"/>
  <c r="AA22" i="4" s="1"/>
  <c r="L23" i="4"/>
  <c r="AA23" i="4" s="1"/>
  <c r="M30" i="4"/>
  <c r="L31" i="4"/>
  <c r="M24" i="4"/>
  <c r="N24" i="4" s="1"/>
  <c r="O24" i="4" s="1"/>
  <c r="P24" i="4" s="1"/>
  <c r="Q24" i="4" s="1"/>
  <c r="R24" i="4" s="1"/>
  <c r="S24" i="4" s="1"/>
  <c r="T24" i="4" s="1"/>
  <c r="L25" i="4"/>
  <c r="AA25" i="4" s="1"/>
  <c r="AA24" i="4"/>
  <c r="L16" i="4"/>
  <c r="K17" i="4"/>
  <c r="K39" i="4"/>
  <c r="K40" i="4" s="1"/>
  <c r="W25" i="4"/>
  <c r="AA31" i="4" l="1"/>
  <c r="N30" i="4"/>
  <c r="AA27" i="4"/>
  <c r="M16" i="4"/>
  <c r="N16" i="4" s="1"/>
  <c r="O16" i="4" s="1"/>
  <c r="P16" i="4" s="1"/>
  <c r="Q16" i="4" s="1"/>
  <c r="R16" i="4" s="1"/>
  <c r="S16" i="4" s="1"/>
  <c r="T16" i="4" s="1"/>
  <c r="AA16" i="4" s="1"/>
  <c r="L17" i="4"/>
  <c r="AA17" i="4" s="1"/>
  <c r="L37" i="4"/>
  <c r="W26" i="4"/>
  <c r="L39" i="4" l="1"/>
  <c r="L40" i="4" s="1"/>
  <c r="M37" i="4"/>
  <c r="O30" i="4"/>
  <c r="N37" i="4"/>
  <c r="W27" i="4"/>
  <c r="P30" i="4" l="1"/>
  <c r="O37" i="4"/>
  <c r="W28" i="4"/>
  <c r="Q30" i="4" l="1"/>
  <c r="P37" i="4"/>
  <c r="W29" i="4"/>
  <c r="C5" i="4"/>
  <c r="R30" i="4" l="1"/>
  <c r="Q37" i="4"/>
  <c r="W30" i="4"/>
  <c r="M14" i="4"/>
  <c r="N14" i="4" s="1"/>
  <c r="S30" i="4" l="1"/>
  <c r="R37" i="4"/>
  <c r="W31" i="4"/>
  <c r="T30" i="4" l="1"/>
  <c r="S37" i="4"/>
  <c r="W32" i="4"/>
  <c r="W33" i="4"/>
  <c r="Y33" i="4" s="1"/>
  <c r="T37" i="4" l="1"/>
  <c r="AA30" i="4"/>
  <c r="H14" i="4"/>
  <c r="I14" i="4" s="1"/>
  <c r="J14" i="4" s="1"/>
  <c r="P14" i="4" s="1"/>
  <c r="Q14" i="4" s="1"/>
  <c r="R14" i="4" s="1"/>
  <c r="S14" i="4" s="1"/>
  <c r="T14" i="4" s="1"/>
  <c r="G38" i="4" l="1"/>
  <c r="H38" i="4" l="1"/>
  <c r="G41" i="4"/>
  <c r="I38" i="4" l="1"/>
  <c r="H41" i="4"/>
  <c r="I41" i="4" l="1"/>
  <c r="J38" i="4"/>
  <c r="K38" i="4" l="1"/>
  <c r="J41" i="4"/>
  <c r="L38" i="4" l="1"/>
  <c r="K41" i="4"/>
  <c r="L41" i="4" l="1"/>
  <c r="M38" i="4"/>
  <c r="N38" i="4" s="1"/>
  <c r="O38" i="4" s="1"/>
  <c r="P38" i="4" s="1"/>
  <c r="Q38" i="4" s="1"/>
  <c r="R38" i="4" s="1"/>
  <c r="S38" i="4" s="1"/>
  <c r="T38" i="4" s="1"/>
  <c r="H31" i="6"/>
  <c r="H17" i="6" l="1"/>
  <c r="G29" i="6" l="1"/>
  <c r="J29" i="6" s="1"/>
  <c r="H29" i="6"/>
  <c r="J17" i="6"/>
  <c r="K17" i="6" s="1"/>
  <c r="H30" i="6" l="1"/>
  <c r="H32" i="6" s="1"/>
  <c r="K29" i="6"/>
</calcChain>
</file>

<file path=xl/sharedStrings.xml><?xml version="1.0" encoding="utf-8"?>
<sst xmlns="http://schemas.openxmlformats.org/spreadsheetml/2006/main" count="351" uniqueCount="186">
  <si>
    <t>LAPORAN PROGRESS MINGGUAN</t>
  </si>
  <si>
    <t>MASA PELAKSANAAN PEKERJAAN</t>
  </si>
  <si>
    <t xml:space="preserve">TANGGAL PERIODE </t>
  </si>
  <si>
    <t>:</t>
  </si>
  <si>
    <t>S/D</t>
  </si>
  <si>
    <t>TANGGAL KONTRAK</t>
  </si>
  <si>
    <t>PLANT PROGRESS</t>
  </si>
  <si>
    <t>%</t>
  </si>
  <si>
    <t>MASA PELAKSANAAN</t>
  </si>
  <si>
    <t>Hari</t>
  </si>
  <si>
    <t>ACTUAL PROGRESS</t>
  </si>
  <si>
    <t>WAKTU PELAKSANAAN</t>
  </si>
  <si>
    <t>DEVIASI</t>
  </si>
  <si>
    <t>SISA WAKTU</t>
  </si>
  <si>
    <t>LEBIH CEPAT</t>
  </si>
  <si>
    <t>TERLAMBAT</t>
  </si>
  <si>
    <t>CATATAN KENDALA / KETERLAMBATAN</t>
  </si>
  <si>
    <t>NO</t>
  </si>
  <si>
    <t>BOBOT</t>
  </si>
  <si>
    <t>REALISASI PEKERJAAN</t>
  </si>
  <si>
    <t>URAIAN PEKERJAAN</t>
  </si>
  <si>
    <t>KETERANGAN</t>
  </si>
  <si>
    <t>RENC/</t>
  </si>
  <si>
    <t>I</t>
  </si>
  <si>
    <t>II</t>
  </si>
  <si>
    <t>III</t>
  </si>
  <si>
    <t>(%)</t>
  </si>
  <si>
    <t>REAL</t>
  </si>
  <si>
    <t>GRAND TOTAL</t>
  </si>
  <si>
    <t>TARGET RENCANA</t>
  </si>
  <si>
    <t>TARGET RENCANA KUMULATIF</t>
  </si>
  <si>
    <t>REALISASI PENCAPAIAN</t>
  </si>
  <si>
    <t>REALISASI PENCAPAIAN KUMULATIF</t>
  </si>
  <si>
    <t>SELISIH (+/-)</t>
  </si>
  <si>
    <t>PT Konsulta Semen Gresik</t>
  </si>
  <si>
    <t>Direktur</t>
  </si>
  <si>
    <t xml:space="preserve"> PEKERJAAN</t>
  </si>
  <si>
    <t xml:space="preserve">:  </t>
  </si>
  <si>
    <t>No.</t>
  </si>
  <si>
    <t>PEKERJAAN</t>
  </si>
  <si>
    <t>PT. KONSULTA SEMEN GRESIK</t>
  </si>
  <si>
    <t>CUT OFF :</t>
  </si>
  <si>
    <t>Koordinator</t>
  </si>
  <si>
    <t>Team leader</t>
  </si>
  <si>
    <t>Gresik,</t>
  </si>
  <si>
    <t>Bulan I</t>
  </si>
  <si>
    <t>Bulan II</t>
  </si>
  <si>
    <t>PERSONEL</t>
  </si>
  <si>
    <t>Bulan III</t>
  </si>
  <si>
    <t>Bulan IV</t>
  </si>
  <si>
    <t>Disetujui oleh</t>
  </si>
  <si>
    <t>Diperiksa oleh,</t>
  </si>
  <si>
    <t>KET.</t>
  </si>
  <si>
    <t>PERIODE :</t>
  </si>
  <si>
    <t>UNIT</t>
  </si>
  <si>
    <t>QTY.</t>
  </si>
  <si>
    <t>BOBOT (%)</t>
  </si>
  <si>
    <t>MINGGU LALU</t>
  </si>
  <si>
    <t>MINGGU INI</t>
  </si>
  <si>
    <t>SAMPAI MINGGU INI</t>
  </si>
  <si>
    <t>UP TO THIS WEEK</t>
  </si>
  <si>
    <t>PROGRESS BY COST</t>
  </si>
  <si>
    <t>PROGRESS BY PHISIK</t>
  </si>
  <si>
    <t>MINGGU KE:</t>
  </si>
  <si>
    <t>REALISASI TOTAL BOBOT SAMPAI MINGGU INI</t>
  </si>
  <si>
    <t>RENCANA TOTAL BOBOT SAMPAI MINGGU INI</t>
  </si>
  <si>
    <t>SELISIH TOTAL BOBOT SAMPAI MINGGU INI</t>
  </si>
  <si>
    <t>MINGGU LALU (%)</t>
  </si>
  <si>
    <t>MINGGU INI (%)</t>
  </si>
  <si>
    <t>SAMPAI MINGGU INI (%)</t>
  </si>
  <si>
    <t>-</t>
  </si>
  <si>
    <t>PT Industri Kemasan Semen Gresik (IKSG)</t>
  </si>
  <si>
    <t>Minggu I:</t>
  </si>
  <si>
    <t>Minggu II:</t>
  </si>
  <si>
    <t>Minggu III:</t>
  </si>
  <si>
    <t>Minggu IV:</t>
  </si>
  <si>
    <t>Minggu VI:</t>
  </si>
  <si>
    <t>Minggu V:</t>
  </si>
  <si>
    <t>Minggu VII:</t>
  </si>
  <si>
    <t>Minggu VIII:</t>
  </si>
  <si>
    <t>Minggu IX:</t>
  </si>
  <si>
    <t>Minggu X:</t>
  </si>
  <si>
    <t>Minggu XI:</t>
  </si>
  <si>
    <t>Minggu XII:</t>
  </si>
  <si>
    <t>Minggu XIII:</t>
  </si>
  <si>
    <t>Minggu XIV:</t>
  </si>
  <si>
    <t>Team Leader</t>
  </si>
  <si>
    <t>Safety Officer</t>
  </si>
  <si>
    <t>Project Control &amp; Reporting Officer</t>
  </si>
  <si>
    <t>Pengawas Konstruksi Sipil</t>
  </si>
  <si>
    <t>Pengawas Konstruksi Electrical</t>
  </si>
  <si>
    <t>TOOLS</t>
  </si>
  <si>
    <t>Laporan</t>
  </si>
  <si>
    <t>MOBILISASI &amp; DEMOBILISASI</t>
  </si>
  <si>
    <t>Transportasi</t>
  </si>
  <si>
    <t xml:space="preserve">KONTRAKTOR </t>
  </si>
  <si>
    <t>NOMOR WO/SP</t>
  </si>
  <si>
    <t>1.</t>
  </si>
  <si>
    <t>2.</t>
  </si>
  <si>
    <t>3.</t>
  </si>
  <si>
    <t>(WEEKLY PROGRESS REPORT)</t>
  </si>
  <si>
    <t>s.d.</t>
  </si>
  <si>
    <t>GM of Production</t>
  </si>
  <si>
    <t>SM of Maintenance</t>
  </si>
  <si>
    <t>( Nalendra Permana, ST)</t>
  </si>
  <si>
    <t>Disetujui oleh,</t>
  </si>
  <si>
    <t>( Sunarno, ST )</t>
  </si>
  <si>
    <t>( Ir. Hartono )</t>
  </si>
  <si>
    <t>Minggu ke  : VI</t>
  </si>
  <si>
    <t>Tanggal: 19 Agustus 2024 - 25 Agustus 2024</t>
  </si>
  <si>
    <t>Minggu ke  : VIII</t>
  </si>
  <si>
    <t>Tanggal: 02 September - 08 September 2024</t>
  </si>
  <si>
    <t>Minggu XV:</t>
  </si>
  <si>
    <t>Minggu XVI:</t>
  </si>
  <si>
    <t>4.</t>
  </si>
  <si>
    <t>PT Semen Indonesia (Persero) Tbk.</t>
  </si>
  <si>
    <t>PEKERJAAN MINGGU KE : I (SATU)</t>
  </si>
  <si>
    <t>5.</t>
  </si>
  <si>
    <t>6.</t>
  </si>
  <si>
    <t>hemia</t>
  </si>
  <si>
    <t>dimas</t>
  </si>
  <si>
    <t>agus wiyanto</t>
  </si>
  <si>
    <t>yusuf</t>
  </si>
  <si>
    <t>saiful flah</t>
  </si>
  <si>
    <t>rival al hafiz</t>
  </si>
  <si>
    <t>KONSULTAN</t>
  </si>
  <si>
    <t>11 November - 16 November 2025</t>
  </si>
  <si>
    <t>( Satriawan Gigih Pideksa )</t>
  </si>
  <si>
    <t>lots</t>
  </si>
  <si>
    <t>RENCANA PEKERJAAN MINGGU KE : 2 (DUA)</t>
  </si>
  <si>
    <t>Semen Indonesia Foundation</t>
  </si>
  <si>
    <t xml:space="preserve">MASTER SCHEDULE </t>
  </si>
  <si>
    <t xml:space="preserve">Minggu ke  : </t>
  </si>
  <si>
    <t>PT KONSULTA SEMEN GRESIK</t>
  </si>
  <si>
    <t xml:space="preserve">Tanggal: </t>
  </si>
  <si>
    <t>September</t>
  </si>
  <si>
    <t>Oktober</t>
  </si>
  <si>
    <t>November</t>
  </si>
  <si>
    <t>Desember</t>
  </si>
  <si>
    <t>Konsep arsitektur &amp; 3D Model</t>
  </si>
  <si>
    <t>Cut Off:</t>
  </si>
  <si>
    <t>Pengumpulan Data dan Pemahaman Mendalam (Briefing &amp; Analysis)</t>
  </si>
  <si>
    <t>Minggu 1 : 25 Sept - 28 Sept 2025</t>
  </si>
  <si>
    <t xml:space="preserve">Site Analysis </t>
  </si>
  <si>
    <t>Minggu 2 : 29 Sept - 5 Okt 2025</t>
  </si>
  <si>
    <t>Visualisasi dan Pengembangan (Design Development)</t>
  </si>
  <si>
    <t>Minggu 3 : 6 Okt - 12 Okt 2025</t>
  </si>
  <si>
    <t>Evaluasi dan Penyempurnaan (Refinement)</t>
  </si>
  <si>
    <t>Minggu 4 : 13 Okt - 19 Okt 2025</t>
  </si>
  <si>
    <t>FEED (Front End Engineering Design) document</t>
  </si>
  <si>
    <t>Minggu 5 : 20 Okt - 26 Okt 2025</t>
  </si>
  <si>
    <t>Design &amp; spesifikasi MEP, HVAC &amp; SOLAR PANEL</t>
  </si>
  <si>
    <t>Minggu 6 : 27 Okt - 2 Nov 2025</t>
  </si>
  <si>
    <t>Design &amp; spesifikasi IPAL</t>
  </si>
  <si>
    <t>Minggu 7 : 3 Nov - 9 Nov 2025</t>
  </si>
  <si>
    <t>Design CIVIL &amp; Structure</t>
  </si>
  <si>
    <t>Minggu 8 : 10 Nov - 16 Nov 2025</t>
  </si>
  <si>
    <t>Perencanaan metode konstruksi</t>
  </si>
  <si>
    <t>Minggu 9 : 17 Nov - 23 Nov 2025</t>
  </si>
  <si>
    <t>Tender document</t>
  </si>
  <si>
    <t>Minggu 10 : 24 Nov - 30 Nov 2025</t>
  </si>
  <si>
    <t>Penyusunan dokumen IFB (Issued For Bid) dengan skema EPC project</t>
  </si>
  <si>
    <t>Minggu 11 : 1 Des - 7 Des 2025</t>
  </si>
  <si>
    <t>Penyusunan ECE ( Engineering Cost Estimate)</t>
  </si>
  <si>
    <t>Minggu 12 : 8 Des - 14 Des 2025</t>
  </si>
  <si>
    <t>IV</t>
  </si>
  <si>
    <t>Report</t>
  </si>
  <si>
    <t>Minggu 13 : 15 Des - 21 Des 2025</t>
  </si>
  <si>
    <t>Laporan TEFS lengkap (aspek teknis, ekonomi, sosial, lingkungan, skema kerjasama).</t>
  </si>
  <si>
    <t>Minggu 14 : 22 Des - 28 Des 2025</t>
  </si>
  <si>
    <t>Minggu 15 : 29 Des - 31 Des 2025</t>
  </si>
  <si>
    <t>KUMULATIF PROGRESS</t>
  </si>
  <si>
    <t>( Achmad Fauzan, SE.,MM )</t>
  </si>
  <si>
    <r>
      <t xml:space="preserve">( </t>
    </r>
    <r>
      <rPr>
        <b/>
        <u/>
        <sz val="14"/>
        <color theme="1"/>
        <rFont val="Calibri"/>
        <family val="2"/>
        <scheme val="minor"/>
      </rPr>
      <t>Febrina Puspita Sari</t>
    </r>
    <r>
      <rPr>
        <b/>
        <sz val="14"/>
        <color theme="1"/>
        <rFont val="Calibri"/>
        <family val="2"/>
        <scheme val="minor"/>
      </rPr>
      <t xml:space="preserve"> )</t>
    </r>
  </si>
  <si>
    <t>GM HC &amp; GA, Sarana, Governansi &amp; Internal Audit</t>
  </si>
  <si>
    <t>Kadiv. Perencanaan Pengadaan dan Sarana Prasarana</t>
  </si>
  <si>
    <t>( Febrina Puspita Sari )</t>
  </si>
  <si>
    <t>Gresik, xxxxxxxxxx</t>
  </si>
  <si>
    <t>18/8/2026</t>
  </si>
  <si>
    <t>31/10/2026</t>
  </si>
  <si>
    <t>23/8/2026</t>
  </si>
  <si>
    <t>Gresik, 18 Agustus 2026</t>
  </si>
  <si>
    <t xml:space="preserve">NOMOR SURAT PERINTAH KERJA : </t>
  </si>
  <si>
    <t>35/PBJ.12/01-01/08.26</t>
  </si>
  <si>
    <t>PEKERJAAN ASESMENT KAMPUS B UNIVERSITAS  INTERNASIONAL SEMEN INDONESIA</t>
  </si>
  <si>
    <t xml:space="preserve"> NOMOR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</si>
</sst>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dd/mm/yyyy;@"/>
    <numFmt numFmtId="165" formatCode="mm/dd/yy;@"/>
    <numFmt numFmtId="166" formatCode="[$-421]dd\ mmmm\ yyyy;@"/>
    <numFmt numFmtId="167" formatCode="[$Rp-421]#,##0.00"/>
    <numFmt numFmtId="168" formatCode="0.000"/>
    <numFmt numFmtId="169" formatCode="0.0000"/>
    <numFmt numFmtId="170" formatCode="[$-13809]dd\ mmmm\ yyyy;@"/>
    <numFmt numFmtId="171" formatCode="_(* #,##0_);_(* \(#,##0\);_(* &quot;-&quot;??_);_(@_)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8"/>
      <color indexed="62"/>
      <name val="Arial"/>
      <family val="2"/>
    </font>
    <font>
      <sz val="10"/>
      <color indexed="10"/>
      <name val="Arial"/>
      <family val="2"/>
    </font>
    <font>
      <sz val="8"/>
      <color indexed="12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Times New Roman"/>
      <family val="1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indexed="8"/>
      <name val="Arial"/>
      <family val="2"/>
    </font>
    <font>
      <sz val="10"/>
      <color rgb="FF0099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name val="Arial Narrow"/>
      <family val="2"/>
    </font>
    <font>
      <sz val="14"/>
      <color theme="1"/>
      <name val="Arial Narrow"/>
      <family val="2"/>
    </font>
    <font>
      <sz val="14"/>
      <name val="Arial Narrow"/>
      <family val="2"/>
    </font>
    <font>
      <sz val="14"/>
      <color indexed="8"/>
      <name val="Arial Narrow"/>
      <family val="2"/>
    </font>
    <font>
      <b/>
      <sz val="14"/>
      <color indexed="8"/>
      <name val="Arial Narrow"/>
      <family val="2"/>
    </font>
    <font>
      <b/>
      <sz val="14"/>
      <color indexed="62"/>
      <name val="Arial Narrow"/>
      <family val="2"/>
    </font>
    <font>
      <b/>
      <sz val="16"/>
      <name val="Arial Narrow"/>
      <family val="2"/>
    </font>
    <font>
      <sz val="20"/>
      <name val="Times New Roman"/>
      <family val="1"/>
    </font>
    <font>
      <b/>
      <sz val="14"/>
      <color theme="1"/>
      <name val="Arial Narrow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Arial Narrow"/>
      <family val="2"/>
    </font>
    <font>
      <b/>
      <u/>
      <sz val="14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501">
    <xf numFmtId="0" fontId="0" fillId="0" borderId="0" xfId="0"/>
    <xf numFmtId="0" fontId="1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3" fillId="0" borderId="0" xfId="3" applyFont="1" applyAlignment="1">
      <alignment vertical="top"/>
    </xf>
    <xf numFmtId="0" fontId="5" fillId="0" borderId="0" xfId="3" applyFont="1" applyAlignment="1">
      <alignment vertical="center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10" fillId="0" borderId="0" xfId="3" applyFont="1" applyAlignment="1">
      <alignment horizontal="center" vertical="center"/>
    </xf>
    <xf numFmtId="164" fontId="13" fillId="0" borderId="0" xfId="3" applyNumberFormat="1" applyFont="1" applyAlignment="1">
      <alignment horizontal="center"/>
    </xf>
    <xf numFmtId="164" fontId="13" fillId="0" borderId="6" xfId="3" applyNumberFormat="1" applyFont="1" applyBorder="1" applyAlignment="1">
      <alignment horizontal="center"/>
    </xf>
    <xf numFmtId="0" fontId="12" fillId="0" borderId="5" xfId="3" applyFont="1" applyBorder="1" applyAlignment="1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right" vertical="center"/>
    </xf>
    <xf numFmtId="0" fontId="9" fillId="0" borderId="0" xfId="3" applyFont="1" applyAlignment="1">
      <alignment horizontal="left" vertical="center"/>
    </xf>
    <xf numFmtId="0" fontId="9" fillId="0" borderId="5" xfId="3" applyFont="1" applyBorder="1" applyAlignment="1">
      <alignment vertical="center"/>
    </xf>
    <xf numFmtId="4" fontId="9" fillId="0" borderId="0" xfId="3" applyNumberFormat="1" applyFont="1" applyAlignment="1">
      <alignment vertical="center"/>
    </xf>
    <xf numFmtId="10" fontId="9" fillId="0" borderId="0" xfId="3" applyNumberFormat="1" applyFont="1" applyAlignment="1">
      <alignment vertical="center"/>
    </xf>
    <xf numFmtId="10" fontId="9" fillId="0" borderId="6" xfId="3" applyNumberFormat="1" applyFont="1" applyBorder="1" applyAlignment="1">
      <alignment vertical="center"/>
    </xf>
    <xf numFmtId="0" fontId="9" fillId="0" borderId="0" xfId="3" applyFont="1" applyAlignment="1">
      <alignment horizontal="right" vertical="center"/>
    </xf>
    <xf numFmtId="2" fontId="9" fillId="0" borderId="0" xfId="3" applyNumberFormat="1" applyFont="1" applyAlignment="1">
      <alignment vertical="center"/>
    </xf>
    <xf numFmtId="0" fontId="9" fillId="0" borderId="6" xfId="3" applyFont="1" applyBorder="1" applyAlignment="1">
      <alignment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8" xfId="3" applyFont="1" applyBorder="1" applyAlignment="1">
      <alignment horizontal="right" vertical="center"/>
    </xf>
    <xf numFmtId="4" fontId="9" fillId="0" borderId="8" xfId="3" applyNumberFormat="1" applyFont="1" applyBorder="1" applyAlignment="1">
      <alignment vertical="center"/>
    </xf>
    <xf numFmtId="10" fontId="9" fillId="0" borderId="8" xfId="3" applyNumberFormat="1" applyFont="1" applyBorder="1" applyAlignment="1">
      <alignment vertical="center"/>
    </xf>
    <xf numFmtId="0" fontId="9" fillId="0" borderId="9" xfId="3" applyFont="1" applyBorder="1" applyAlignment="1">
      <alignment vertical="center"/>
    </xf>
    <xf numFmtId="0" fontId="9" fillId="0" borderId="10" xfId="3" applyFont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13" xfId="3" applyFont="1" applyBorder="1" applyAlignment="1">
      <alignment vertical="center"/>
    </xf>
    <xf numFmtId="0" fontId="9" fillId="0" borderId="14" xfId="3" applyFont="1" applyBorder="1" applyAlignment="1">
      <alignment vertical="center"/>
    </xf>
    <xf numFmtId="0" fontId="9" fillId="0" borderId="15" xfId="3" applyFont="1" applyBorder="1" applyAlignment="1">
      <alignment vertical="center"/>
    </xf>
    <xf numFmtId="0" fontId="9" fillId="0" borderId="3" xfId="3" applyFont="1" applyBorder="1" applyAlignment="1">
      <alignment vertical="center"/>
    </xf>
    <xf numFmtId="165" fontId="9" fillId="0" borderId="0" xfId="3" applyNumberFormat="1" applyFont="1" applyAlignment="1">
      <alignment horizontal="right" vertical="center"/>
    </xf>
    <xf numFmtId="0" fontId="16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29" xfId="0" applyBorder="1"/>
    <xf numFmtId="0" fontId="15" fillId="0" borderId="31" xfId="0" applyFont="1" applyBorder="1" applyAlignment="1">
      <alignment horizontal="left"/>
    </xf>
    <xf numFmtId="0" fontId="0" fillId="0" borderId="34" xfId="0" applyBorder="1"/>
    <xf numFmtId="43" fontId="19" fillId="0" borderId="45" xfId="1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0" fillId="0" borderId="48" xfId="0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left" vertical="center"/>
    </xf>
    <xf numFmtId="43" fontId="15" fillId="0" borderId="51" xfId="1" applyFont="1" applyBorder="1" applyAlignment="1">
      <alignment horizontal="center"/>
    </xf>
    <xf numFmtId="0" fontId="15" fillId="0" borderId="51" xfId="0" applyFont="1" applyBorder="1"/>
    <xf numFmtId="0" fontId="15" fillId="0" borderId="25" xfId="0" applyFont="1" applyBorder="1" applyAlignment="1">
      <alignment horizontal="left"/>
    </xf>
    <xf numFmtId="0" fontId="15" fillId="0" borderId="20" xfId="0" applyFont="1" applyBorder="1"/>
    <xf numFmtId="0" fontId="15" fillId="0" borderId="19" xfId="0" applyFont="1" applyBorder="1" applyAlignment="1">
      <alignment horizontal="left"/>
    </xf>
    <xf numFmtId="0" fontId="15" fillId="0" borderId="17" xfId="0" applyFont="1" applyBorder="1"/>
    <xf numFmtId="2" fontId="21" fillId="0" borderId="17" xfId="0" applyNumberFormat="1" applyFont="1" applyBorder="1" applyAlignment="1">
      <alignment horizontal="center"/>
    </xf>
    <xf numFmtId="0" fontId="21" fillId="0" borderId="17" xfId="0" applyFont="1" applyBorder="1"/>
    <xf numFmtId="0" fontId="0" fillId="0" borderId="31" xfId="0" applyBorder="1"/>
    <xf numFmtId="2" fontId="22" fillId="0" borderId="31" xfId="0" applyNumberFormat="1" applyFont="1" applyBorder="1" applyAlignment="1">
      <alignment horizontal="center"/>
    </xf>
    <xf numFmtId="0" fontId="19" fillId="0" borderId="0" xfId="0" applyFont="1"/>
    <xf numFmtId="0" fontId="23" fillId="0" borderId="3" xfId="6" applyFont="1" applyBorder="1"/>
    <xf numFmtId="0" fontId="23" fillId="0" borderId="3" xfId="6" applyFont="1" applyBorder="1" applyAlignment="1">
      <alignment horizontal="right"/>
    </xf>
    <xf numFmtId="0" fontId="23" fillId="0" borderId="4" xfId="6" applyFont="1" applyBorder="1"/>
    <xf numFmtId="0" fontId="23" fillId="0" borderId="0" xfId="6" applyFont="1"/>
    <xf numFmtId="0" fontId="26" fillId="0" borderId="0" xfId="6" applyFont="1"/>
    <xf numFmtId="0" fontId="26" fillId="0" borderId="0" xfId="6" applyFont="1" applyAlignment="1">
      <alignment horizontal="right"/>
    </xf>
    <xf numFmtId="0" fontId="26" fillId="0" borderId="0" xfId="6" applyFont="1" applyAlignment="1">
      <alignment horizontal="left"/>
    </xf>
    <xf numFmtId="0" fontId="26" fillId="0" borderId="6" xfId="6" applyFont="1" applyBorder="1"/>
    <xf numFmtId="0" fontId="23" fillId="0" borderId="0" xfId="6" applyFont="1" applyAlignment="1">
      <alignment horizontal="right"/>
    </xf>
    <xf numFmtId="0" fontId="23" fillId="0" borderId="0" xfId="6" applyFont="1" applyAlignment="1">
      <alignment horizontal="left"/>
    </xf>
    <xf numFmtId="0" fontId="23" fillId="0" borderId="6" xfId="6" applyFont="1" applyBorder="1"/>
    <xf numFmtId="0" fontId="24" fillId="0" borderId="0" xfId="8" applyFont="1" applyAlignment="1">
      <alignment horizontal="right"/>
    </xf>
    <xf numFmtId="0" fontId="26" fillId="0" borderId="31" xfId="6" applyFont="1" applyBorder="1" applyAlignment="1">
      <alignment horizontal="left"/>
    </xf>
    <xf numFmtId="0" fontId="25" fillId="0" borderId="31" xfId="6" applyFont="1" applyBorder="1" applyAlignment="1">
      <alignment horizontal="right"/>
    </xf>
    <xf numFmtId="0" fontId="25" fillId="0" borderId="61" xfId="6" applyFont="1" applyBorder="1"/>
    <xf numFmtId="0" fontId="25" fillId="0" borderId="0" xfId="6" applyFont="1"/>
    <xf numFmtId="0" fontId="25" fillId="0" borderId="0" xfId="6" applyFont="1" applyAlignment="1">
      <alignment horizontal="right"/>
    </xf>
    <xf numFmtId="0" fontId="25" fillId="0" borderId="6" xfId="6" applyFont="1" applyBorder="1"/>
    <xf numFmtId="0" fontId="25" fillId="0" borderId="62" xfId="6" applyFont="1" applyBorder="1"/>
    <xf numFmtId="0" fontId="23" fillId="0" borderId="64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2" fontId="23" fillId="0" borderId="18" xfId="6" applyNumberFormat="1" applyFont="1" applyBorder="1" applyAlignment="1">
      <alignment horizontal="center" vertical="center"/>
    </xf>
    <xf numFmtId="9" fontId="23" fillId="0" borderId="0" xfId="2" applyFont="1" applyAlignment="1">
      <alignment horizontal="center" vertical="center"/>
    </xf>
    <xf numFmtId="9" fontId="23" fillId="0" borderId="0" xfId="6" applyNumberFormat="1" applyFont="1" applyAlignment="1">
      <alignment horizontal="center" vertical="center"/>
    </xf>
    <xf numFmtId="2" fontId="23" fillId="0" borderId="17" xfId="6" applyNumberFormat="1" applyFont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3" fillId="0" borderId="8" xfId="3" applyFont="1" applyBorder="1" applyAlignment="1">
      <alignment vertical="center"/>
    </xf>
    <xf numFmtId="0" fontId="3" fillId="0" borderId="0" xfId="3" applyFont="1" applyAlignment="1">
      <alignment horizontal="center" vertical="center"/>
    </xf>
    <xf numFmtId="0" fontId="15" fillId="0" borderId="0" xfId="6"/>
    <xf numFmtId="166" fontId="9" fillId="0" borderId="0" xfId="3" applyNumberFormat="1" applyFont="1" applyAlignment="1">
      <alignment vertical="center"/>
    </xf>
    <xf numFmtId="0" fontId="31" fillId="0" borderId="0" xfId="0" applyFont="1"/>
    <xf numFmtId="0" fontId="23" fillId="0" borderId="2" xfId="6" applyFont="1" applyBorder="1" applyAlignment="1">
      <alignment horizontal="center"/>
    </xf>
    <xf numFmtId="0" fontId="26" fillId="0" borderId="5" xfId="6" applyFont="1" applyBorder="1" applyAlignment="1">
      <alignment horizontal="center"/>
    </xf>
    <xf numFmtId="0" fontId="23" fillId="0" borderId="5" xfId="6" applyFont="1" applyBorder="1" applyAlignment="1">
      <alignment horizontal="center"/>
    </xf>
    <xf numFmtId="0" fontId="23" fillId="0" borderId="0" xfId="6" applyFont="1" applyAlignment="1">
      <alignment horizontal="center"/>
    </xf>
    <xf numFmtId="0" fontId="0" fillId="0" borderId="0" xfId="0" applyAlignment="1">
      <alignment vertical="center"/>
    </xf>
    <xf numFmtId="0" fontId="33" fillId="0" borderId="16" xfId="9" applyFont="1" applyBorder="1" applyAlignment="1">
      <alignment horizontal="center" vertical="center"/>
    </xf>
    <xf numFmtId="0" fontId="15" fillId="0" borderId="0" xfId="6" applyAlignment="1">
      <alignment horizont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2" fontId="15" fillId="0" borderId="20" xfId="0" applyNumberFormat="1" applyFont="1" applyBorder="1" applyAlignment="1">
      <alignment horizontal="center"/>
    </xf>
    <xf numFmtId="2" fontId="15" fillId="0" borderId="17" xfId="0" applyNumberFormat="1" applyFont="1" applyBorder="1" applyAlignment="1">
      <alignment horizontal="center"/>
    </xf>
    <xf numFmtId="2" fontId="19" fillId="0" borderId="17" xfId="0" applyNumberFormat="1" applyFont="1" applyBorder="1" applyAlignment="1">
      <alignment horizontal="center"/>
    </xf>
    <xf numFmtId="2" fontId="15" fillId="0" borderId="44" xfId="0" applyNumberFormat="1" applyFont="1" applyBorder="1" applyAlignment="1">
      <alignment horizontal="center" vertical="center"/>
    </xf>
    <xf numFmtId="43" fontId="15" fillId="0" borderId="17" xfId="0" applyNumberFormat="1" applyFont="1" applyBorder="1"/>
    <xf numFmtId="0" fontId="23" fillId="0" borderId="18" xfId="6" applyFont="1" applyBorder="1" applyAlignment="1">
      <alignment vertical="center"/>
    </xf>
    <xf numFmtId="0" fontId="23" fillId="0" borderId="35" xfId="6" applyFont="1" applyBorder="1" applyAlignment="1">
      <alignment horizontal="center" vertical="center"/>
    </xf>
    <xf numFmtId="0" fontId="36" fillId="0" borderId="41" xfId="0" applyFont="1" applyBorder="1" applyAlignment="1">
      <alignment horizontal="center"/>
    </xf>
    <xf numFmtId="49" fontId="36" fillId="0" borderId="44" xfId="0" applyNumberFormat="1" applyFont="1" applyBorder="1"/>
    <xf numFmtId="49" fontId="37" fillId="0" borderId="44" xfId="0" applyNumberFormat="1" applyFont="1" applyBorder="1"/>
    <xf numFmtId="49" fontId="35" fillId="0" borderId="44" xfId="0" applyNumberFormat="1" applyFont="1" applyBorder="1"/>
    <xf numFmtId="49" fontId="38" fillId="0" borderId="44" xfId="0" applyNumberFormat="1" applyFont="1" applyBorder="1" applyAlignment="1">
      <alignment horizontal="left" vertical="center" wrapText="1"/>
    </xf>
    <xf numFmtId="0" fontId="35" fillId="0" borderId="83" xfId="0" applyFont="1" applyBorder="1" applyAlignment="1">
      <alignment horizontal="right"/>
    </xf>
    <xf numFmtId="0" fontId="36" fillId="0" borderId="83" xfId="0" applyFont="1" applyBorder="1" applyAlignment="1">
      <alignment horizontal="center" vertical="center"/>
    </xf>
    <xf numFmtId="0" fontId="15" fillId="0" borderId="87" xfId="0" applyFont="1" applyBorder="1" applyAlignment="1">
      <alignment horizontal="center"/>
    </xf>
    <xf numFmtId="0" fontId="15" fillId="0" borderId="88" xfId="0" applyFont="1" applyBorder="1"/>
    <xf numFmtId="0" fontId="15" fillId="0" borderId="89" xfId="0" applyFont="1" applyBorder="1"/>
    <xf numFmtId="0" fontId="0" fillId="0" borderId="57" xfId="0" applyBorder="1"/>
    <xf numFmtId="0" fontId="15" fillId="0" borderId="56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9" fillId="0" borderId="0" xfId="0" applyFont="1"/>
    <xf numFmtId="0" fontId="40" fillId="0" borderId="0" xfId="0" applyFont="1"/>
    <xf numFmtId="0" fontId="39" fillId="0" borderId="0" xfId="8" applyFont="1"/>
    <xf numFmtId="0" fontId="41" fillId="0" borderId="0" xfId="0" applyFont="1"/>
    <xf numFmtId="0" fontId="17" fillId="0" borderId="0" xfId="0" applyFont="1"/>
    <xf numFmtId="43" fontId="19" fillId="0" borderId="51" xfId="1" applyFont="1" applyBorder="1" applyAlignment="1">
      <alignment horizontal="center"/>
    </xf>
    <xf numFmtId="0" fontId="19" fillId="0" borderId="26" xfId="0" applyFont="1" applyBorder="1"/>
    <xf numFmtId="0" fontId="15" fillId="0" borderId="26" xfId="0" applyFont="1" applyBorder="1"/>
    <xf numFmtId="0" fontId="35" fillId="0" borderId="83" xfId="0" applyFont="1" applyBorder="1" applyAlignment="1">
      <alignment horizontal="center" vertical="center"/>
    </xf>
    <xf numFmtId="1" fontId="19" fillId="0" borderId="17" xfId="0" quotePrefix="1" applyNumberFormat="1" applyFont="1" applyBorder="1"/>
    <xf numFmtId="2" fontId="23" fillId="0" borderId="0" xfId="6" applyNumberFormat="1" applyFont="1"/>
    <xf numFmtId="0" fontId="26" fillId="0" borderId="0" xfId="6" applyFont="1" applyAlignment="1">
      <alignment horizontal="center"/>
    </xf>
    <xf numFmtId="0" fontId="12" fillId="0" borderId="0" xfId="3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7" fontId="33" fillId="0" borderId="21" xfId="10" applyNumberFormat="1" applyFont="1" applyBorder="1" applyAlignment="1">
      <alignment vertical="center" wrapText="1"/>
    </xf>
    <xf numFmtId="167" fontId="33" fillId="0" borderId="17" xfId="10" applyNumberFormat="1" applyFont="1" applyBorder="1" applyAlignment="1">
      <alignment vertical="center" wrapText="1"/>
    </xf>
    <xf numFmtId="0" fontId="28" fillId="0" borderId="54" xfId="6" applyFont="1" applyBorder="1" applyAlignment="1">
      <alignment horizontal="center" vertical="center" wrapText="1"/>
    </xf>
    <xf numFmtId="0" fontId="25" fillId="0" borderId="31" xfId="6" quotePrefix="1" applyFont="1" applyBorder="1" applyAlignment="1">
      <alignment horizontal="left"/>
    </xf>
    <xf numFmtId="0" fontId="25" fillId="0" borderId="0" xfId="6" quotePrefix="1" applyFont="1"/>
    <xf numFmtId="0" fontId="24" fillId="0" borderId="31" xfId="6" applyFont="1" applyBorder="1" applyAlignment="1">
      <alignment horizontal="right"/>
    </xf>
    <xf numFmtId="0" fontId="24" fillId="0" borderId="0" xfId="6" applyFont="1" applyAlignment="1">
      <alignment horizontal="right"/>
    </xf>
    <xf numFmtId="166" fontId="9" fillId="0" borderId="5" xfId="3" applyNumberFormat="1" applyFont="1" applyBorder="1" applyAlignment="1">
      <alignment vertical="center"/>
    </xf>
    <xf numFmtId="166" fontId="9" fillId="0" borderId="37" xfId="3" applyNumberFormat="1" applyFont="1" applyBorder="1" applyAlignment="1">
      <alignment vertical="center"/>
    </xf>
    <xf numFmtId="166" fontId="9" fillId="0" borderId="91" xfId="3" applyNumberFormat="1" applyFont="1" applyBorder="1" applyAlignment="1">
      <alignment vertical="center"/>
    </xf>
    <xf numFmtId="166" fontId="9" fillId="0" borderId="22" xfId="3" applyNumberFormat="1" applyFont="1" applyBorder="1" applyAlignment="1">
      <alignment vertical="center"/>
    </xf>
    <xf numFmtId="166" fontId="9" fillId="0" borderId="92" xfId="3" applyNumberFormat="1" applyFont="1" applyBorder="1" applyAlignment="1">
      <alignment vertical="center"/>
    </xf>
    <xf numFmtId="166" fontId="9" fillId="0" borderId="72" xfId="3" applyNumberFormat="1" applyFont="1" applyBorder="1" applyAlignment="1">
      <alignment vertical="center"/>
    </xf>
    <xf numFmtId="166" fontId="9" fillId="0" borderId="93" xfId="3" applyNumberFormat="1" applyFont="1" applyBorder="1" applyAlignment="1">
      <alignment vertical="center"/>
    </xf>
    <xf numFmtId="166" fontId="9" fillId="0" borderId="94" xfId="3" applyNumberFormat="1" applyFont="1" applyBorder="1" applyAlignment="1">
      <alignment vertical="center"/>
    </xf>
    <xf numFmtId="166" fontId="9" fillId="0" borderId="16" xfId="3" applyNumberFormat="1" applyFont="1" applyBorder="1" applyAlignment="1">
      <alignment vertical="center"/>
    </xf>
    <xf numFmtId="166" fontId="9" fillId="0" borderId="95" xfId="3" applyNumberFormat="1" applyFont="1" applyBorder="1" applyAlignment="1">
      <alignment vertical="center"/>
    </xf>
    <xf numFmtId="9" fontId="9" fillId="0" borderId="37" xfId="2" applyFont="1" applyBorder="1" applyAlignment="1">
      <alignment horizontal="center" vertical="center"/>
    </xf>
    <xf numFmtId="2" fontId="8" fillId="0" borderId="37" xfId="3" applyNumberFormat="1" applyFont="1" applyBorder="1" applyAlignment="1">
      <alignment horizontal="center" vertical="center"/>
    </xf>
    <xf numFmtId="2" fontId="8" fillId="0" borderId="22" xfId="3" applyNumberFormat="1" applyFont="1" applyBorder="1" applyAlignment="1">
      <alignment horizontal="center" vertical="center"/>
    </xf>
    <xf numFmtId="2" fontId="8" fillId="0" borderId="72" xfId="3" applyNumberFormat="1" applyFont="1" applyBorder="1" applyAlignment="1">
      <alignment horizontal="center" vertical="center"/>
    </xf>
    <xf numFmtId="166" fontId="9" fillId="0" borderId="61" xfId="3" applyNumberFormat="1" applyFont="1" applyBorder="1" applyAlignment="1">
      <alignment vertical="center"/>
    </xf>
    <xf numFmtId="0" fontId="18" fillId="0" borderId="79" xfId="0" applyFont="1" applyBorder="1" applyAlignment="1">
      <alignment horizontal="center"/>
    </xf>
    <xf numFmtId="0" fontId="18" fillId="0" borderId="80" xfId="0" applyFont="1" applyBorder="1" applyAlignment="1">
      <alignment horizontal="center"/>
    </xf>
    <xf numFmtId="2" fontId="15" fillId="0" borderId="49" xfId="0" applyNumberFormat="1" applyFont="1" applyBorder="1" applyAlignment="1">
      <alignment horizontal="left"/>
    </xf>
    <xf numFmtId="166" fontId="14" fillId="0" borderId="77" xfId="3" applyNumberFormat="1" applyFont="1" applyBorder="1" applyAlignment="1">
      <alignment horizontal="left"/>
    </xf>
    <xf numFmtId="166" fontId="14" fillId="0" borderId="78" xfId="3" applyNumberFormat="1" applyFont="1" applyBorder="1" applyAlignment="1">
      <alignment horizontal="left"/>
    </xf>
    <xf numFmtId="166" fontId="15" fillId="0" borderId="77" xfId="0" applyNumberFormat="1" applyFont="1" applyBorder="1" applyAlignment="1">
      <alignment horizontal="center"/>
    </xf>
    <xf numFmtId="0" fontId="36" fillId="0" borderId="83" xfId="0" applyFont="1" applyBorder="1" applyAlignment="1">
      <alignment horizontal="center"/>
    </xf>
    <xf numFmtId="0" fontId="26" fillId="0" borderId="33" xfId="6" applyFont="1" applyBorder="1"/>
    <xf numFmtId="0" fontId="24" fillId="0" borderId="0" xfId="6" applyFont="1" applyAlignment="1">
      <alignment horizontal="right" vertical="center"/>
    </xf>
    <xf numFmtId="0" fontId="25" fillId="0" borderId="0" xfId="6" applyFont="1" applyAlignment="1">
      <alignment horizontal="left" vertical="center"/>
    </xf>
    <xf numFmtId="0" fontId="33" fillId="0" borderId="17" xfId="1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2" fontId="15" fillId="0" borderId="44" xfId="0" applyNumberFormat="1" applyFont="1" applyBorder="1" applyAlignment="1">
      <alignment horizontal="center"/>
    </xf>
    <xf numFmtId="0" fontId="42" fillId="0" borderId="51" xfId="0" applyFont="1" applyBorder="1" applyAlignment="1">
      <alignment horizontal="center" vertical="center"/>
    </xf>
    <xf numFmtId="2" fontId="42" fillId="0" borderId="51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/>
    </xf>
    <xf numFmtId="0" fontId="18" fillId="0" borderId="26" xfId="0" applyFont="1" applyBorder="1"/>
    <xf numFmtId="0" fontId="7" fillId="0" borderId="0" xfId="0" applyFont="1"/>
    <xf numFmtId="43" fontId="15" fillId="0" borderId="44" xfId="1" applyFont="1" applyBorder="1" applyAlignment="1">
      <alignment horizontal="center" vertical="center"/>
    </xf>
    <xf numFmtId="43" fontId="15" fillId="0" borderId="45" xfId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/>
    </xf>
    <xf numFmtId="2" fontId="19" fillId="2" borderId="48" xfId="0" applyNumberFormat="1" applyFont="1" applyFill="1" applyBorder="1" applyAlignment="1">
      <alignment horizontal="center"/>
    </xf>
    <xf numFmtId="0" fontId="7" fillId="0" borderId="54" xfId="0" applyFont="1" applyBorder="1"/>
    <xf numFmtId="0" fontId="7" fillId="0" borderId="39" xfId="0" applyFont="1" applyBorder="1"/>
    <xf numFmtId="2" fontId="43" fillId="0" borderId="54" xfId="0" applyNumberFormat="1" applyFont="1" applyBorder="1" applyAlignment="1">
      <alignment horizontal="center"/>
    </xf>
    <xf numFmtId="0" fontId="35" fillId="0" borderId="31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3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2" fontId="23" fillId="0" borderId="70" xfId="8" applyNumberFormat="1" applyFont="1" applyBorder="1" applyAlignment="1">
      <alignment horizontal="center" vertical="center"/>
    </xf>
    <xf numFmtId="2" fontId="28" fillId="0" borderId="70" xfId="6" applyNumberFormat="1" applyFont="1" applyBorder="1" applyAlignment="1">
      <alignment horizontal="center" vertical="center"/>
    </xf>
    <xf numFmtId="10" fontId="28" fillId="0" borderId="70" xfId="2" applyNumberFormat="1" applyFont="1" applyBorder="1" applyAlignment="1">
      <alignment horizontal="center" vertical="center"/>
    </xf>
    <xf numFmtId="2" fontId="28" fillId="0" borderId="98" xfId="6" applyNumberFormat="1" applyFont="1" applyBorder="1" applyAlignment="1">
      <alignment horizontal="center" vertical="center"/>
    </xf>
    <xf numFmtId="10" fontId="33" fillId="0" borderId="17" xfId="2" applyNumberFormat="1" applyFont="1" applyFill="1" applyBorder="1" applyAlignment="1">
      <alignment horizontal="center" vertical="center"/>
    </xf>
    <xf numFmtId="10" fontId="34" fillId="0" borderId="17" xfId="2" applyNumberFormat="1" applyFont="1" applyFill="1" applyBorder="1" applyAlignment="1">
      <alignment horizontal="center" vertical="center"/>
    </xf>
    <xf numFmtId="49" fontId="28" fillId="0" borderId="51" xfId="8" applyNumberFormat="1" applyFont="1" applyBorder="1" applyAlignment="1">
      <alignment vertical="center"/>
    </xf>
    <xf numFmtId="0" fontId="28" fillId="0" borderId="51" xfId="8" applyFont="1" applyBorder="1" applyAlignment="1">
      <alignment vertical="center"/>
    </xf>
    <xf numFmtId="0" fontId="23" fillId="0" borderId="54" xfId="8" applyFont="1" applyBorder="1" applyAlignment="1">
      <alignment vertical="center"/>
    </xf>
    <xf numFmtId="0" fontId="23" fillId="0" borderId="65" xfId="8" applyFont="1" applyBorder="1" applyAlignment="1">
      <alignment horizontal="center" vertical="center"/>
    </xf>
    <xf numFmtId="0" fontId="23" fillId="0" borderId="0" xfId="8" applyFont="1" applyAlignment="1">
      <alignment vertical="center"/>
    </xf>
    <xf numFmtId="0" fontId="23" fillId="0" borderId="70" xfId="8" applyFont="1" applyBorder="1" applyAlignment="1">
      <alignment vertical="center"/>
    </xf>
    <xf numFmtId="0" fontId="23" fillId="0" borderId="37" xfId="8" applyFont="1" applyBorder="1" applyAlignment="1">
      <alignment vertical="center"/>
    </xf>
    <xf numFmtId="0" fontId="18" fillId="0" borderId="81" xfId="0" applyFont="1" applyBorder="1" applyAlignment="1">
      <alignment horizontal="center"/>
    </xf>
    <xf numFmtId="0" fontId="13" fillId="0" borderId="0" xfId="3" applyFont="1" applyAlignment="1">
      <alignment vertical="center"/>
    </xf>
    <xf numFmtId="0" fontId="36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/>
    </xf>
    <xf numFmtId="0" fontId="36" fillId="0" borderId="29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32" xfId="0" applyFont="1" applyBorder="1" applyAlignment="1">
      <alignment horizontal="center"/>
    </xf>
    <xf numFmtId="0" fontId="36" fillId="0" borderId="33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/>
    </xf>
    <xf numFmtId="0" fontId="35" fillId="3" borderId="26" xfId="0" applyFont="1" applyFill="1" applyBorder="1"/>
    <xf numFmtId="0" fontId="36" fillId="3" borderId="0" xfId="0" applyFont="1" applyFill="1" applyAlignment="1">
      <alignment horizontal="center"/>
    </xf>
    <xf numFmtId="0" fontId="36" fillId="3" borderId="26" xfId="0" applyFont="1" applyFill="1" applyBorder="1" applyAlignment="1">
      <alignment horizontal="center"/>
    </xf>
    <xf numFmtId="0" fontId="36" fillId="3" borderId="26" xfId="0" applyFont="1" applyFill="1" applyBorder="1" applyAlignment="1">
      <alignment horizontal="center" vertical="center"/>
    </xf>
    <xf numFmtId="0" fontId="36" fillId="3" borderId="26" xfId="0" applyFont="1" applyFill="1" applyBorder="1" applyAlignment="1">
      <alignment horizontal="center" vertical="top"/>
    </xf>
    <xf numFmtId="0" fontId="36" fillId="3" borderId="40" xfId="0" applyFont="1" applyFill="1" applyBorder="1" applyAlignment="1">
      <alignment horizontal="center" vertical="center"/>
    </xf>
    <xf numFmtId="43" fontId="35" fillId="0" borderId="31" xfId="1" applyFont="1" applyBorder="1" applyAlignment="1">
      <alignment horizontal="center"/>
    </xf>
    <xf numFmtId="0" fontId="35" fillId="0" borderId="42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2" fontId="35" fillId="0" borderId="42" xfId="0" applyNumberFormat="1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2" fontId="0" fillId="0" borderId="46" xfId="0" applyNumberFormat="1" applyBorder="1"/>
    <xf numFmtId="43" fontId="35" fillId="0" borderId="45" xfId="1" applyFont="1" applyBorder="1" applyAlignment="1">
      <alignment horizontal="center"/>
    </xf>
    <xf numFmtId="0" fontId="35" fillId="0" borderId="26" xfId="0" applyFont="1" applyBorder="1" applyAlignment="1">
      <alignment horizontal="center"/>
    </xf>
    <xf numFmtId="2" fontId="35" fillId="0" borderId="44" xfId="0" applyNumberFormat="1" applyFont="1" applyBorder="1" applyAlignment="1">
      <alignment horizontal="center"/>
    </xf>
    <xf numFmtId="43" fontId="44" fillId="0" borderId="45" xfId="1" applyFont="1" applyBorder="1" applyAlignment="1">
      <alignment horizontal="center"/>
    </xf>
    <xf numFmtId="2" fontId="44" fillId="0" borderId="44" xfId="0" applyNumberFormat="1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43" fontId="44" fillId="0" borderId="44" xfId="1" applyFont="1" applyBorder="1" applyAlignment="1">
      <alignment horizontal="center"/>
    </xf>
    <xf numFmtId="166" fontId="33" fillId="0" borderId="77" xfId="3" applyNumberFormat="1" applyFont="1" applyBorder="1" applyAlignment="1">
      <alignment horizontal="left"/>
    </xf>
    <xf numFmtId="166" fontId="33" fillId="0" borderId="78" xfId="3" applyNumberFormat="1" applyFont="1" applyBorder="1" applyAlignment="1">
      <alignment horizontal="left"/>
    </xf>
    <xf numFmtId="0" fontId="9" fillId="0" borderId="10" xfId="3" applyFont="1" applyBorder="1" applyAlignment="1">
      <alignment horizontal="right" vertical="center"/>
    </xf>
    <xf numFmtId="0" fontId="9" fillId="0" borderId="13" xfId="3" applyFont="1" applyBorder="1" applyAlignment="1">
      <alignment horizontal="right" vertical="center"/>
    </xf>
    <xf numFmtId="2" fontId="45" fillId="0" borderId="46" xfId="0" applyNumberFormat="1" applyFont="1" applyBorder="1"/>
    <xf numFmtId="15" fontId="1" fillId="0" borderId="0" xfId="3" applyNumberFormat="1" applyFont="1" applyAlignment="1">
      <alignment vertical="center"/>
    </xf>
    <xf numFmtId="15" fontId="0" fillId="0" borderId="0" xfId="3" applyNumberFormat="1" applyFont="1" applyAlignment="1">
      <alignment vertical="center"/>
    </xf>
    <xf numFmtId="2" fontId="36" fillId="0" borderId="44" xfId="0" applyNumberFormat="1" applyFont="1" applyBorder="1" applyAlignment="1">
      <alignment horizontal="center"/>
    </xf>
    <xf numFmtId="2" fontId="35" fillId="3" borderId="44" xfId="0" applyNumberFormat="1" applyFont="1" applyFill="1" applyBorder="1" applyAlignment="1">
      <alignment horizontal="center"/>
    </xf>
    <xf numFmtId="166" fontId="32" fillId="0" borderId="0" xfId="3" applyNumberFormat="1" applyFont="1" applyAlignment="1">
      <alignment vertical="center"/>
    </xf>
    <xf numFmtId="166" fontId="32" fillId="0" borderId="0" xfId="3" applyNumberFormat="1" applyFont="1" applyAlignment="1">
      <alignment horizontal="center" vertical="center"/>
    </xf>
    <xf numFmtId="166" fontId="32" fillId="0" borderId="0" xfId="3" applyNumberFormat="1" applyFont="1" applyAlignment="1">
      <alignment horizontal="right" vertical="center"/>
    </xf>
    <xf numFmtId="166" fontId="32" fillId="0" borderId="0" xfId="3" applyNumberFormat="1" applyFont="1" applyAlignment="1">
      <alignment horizontal="left" vertical="center"/>
    </xf>
    <xf numFmtId="166" fontId="32" fillId="0" borderId="6" xfId="3" applyNumberFormat="1" applyFont="1" applyBorder="1" applyAlignment="1">
      <alignment vertical="center"/>
    </xf>
    <xf numFmtId="166" fontId="46" fillId="0" borderId="0" xfId="3" applyNumberFormat="1" applyFont="1" applyAlignment="1">
      <alignment vertical="center"/>
    </xf>
    <xf numFmtId="166" fontId="46" fillId="0" borderId="0" xfId="3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0" fontId="46" fillId="0" borderId="6" xfId="3" applyFont="1" applyBorder="1" applyAlignment="1">
      <alignment vertical="center"/>
    </xf>
    <xf numFmtId="0" fontId="32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166" fontId="9" fillId="0" borderId="0" xfId="3" applyNumberFormat="1" applyFont="1" applyAlignment="1">
      <alignment horizontal="left" vertical="center"/>
    </xf>
    <xf numFmtId="0" fontId="8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9" fillId="0" borderId="7" xfId="3" applyFont="1" applyBorder="1" applyAlignment="1">
      <alignment horizontal="right" vertical="center"/>
    </xf>
    <xf numFmtId="0" fontId="3" fillId="0" borderId="0" xfId="3" applyFont="1"/>
    <xf numFmtId="0" fontId="14" fillId="0" borderId="0" xfId="0" applyFont="1" applyAlignment="1">
      <alignment vertical="center"/>
    </xf>
    <xf numFmtId="0" fontId="1" fillId="0" borderId="99" xfId="3" applyFont="1" applyBorder="1" applyAlignment="1">
      <alignment vertical="center"/>
    </xf>
    <xf numFmtId="0" fontId="1" fillId="0" borderId="100" xfId="3" applyFont="1" applyBorder="1" applyAlignment="1">
      <alignment vertical="center"/>
    </xf>
    <xf numFmtId="0" fontId="1" fillId="0" borderId="101" xfId="3" applyFont="1" applyBorder="1" applyAlignment="1">
      <alignment vertical="center"/>
    </xf>
    <xf numFmtId="0" fontId="1" fillId="0" borderId="102" xfId="3" applyFont="1" applyBorder="1" applyAlignment="1">
      <alignment vertical="center"/>
    </xf>
    <xf numFmtId="0" fontId="1" fillId="0" borderId="103" xfId="3" applyFont="1" applyBorder="1" applyAlignment="1">
      <alignment vertical="center"/>
    </xf>
    <xf numFmtId="0" fontId="1" fillId="0" borderId="104" xfId="3" applyFont="1" applyBorder="1" applyAlignment="1">
      <alignment vertical="center"/>
    </xf>
    <xf numFmtId="0" fontId="1" fillId="0" borderId="105" xfId="3" applyFont="1" applyBorder="1" applyAlignment="1">
      <alignment vertical="center"/>
    </xf>
    <xf numFmtId="0" fontId="1" fillId="0" borderId="106" xfId="3" applyFont="1" applyBorder="1" applyAlignment="1">
      <alignment vertical="center"/>
    </xf>
    <xf numFmtId="0" fontId="36" fillId="0" borderId="94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3" fillId="0" borderId="95" xfId="8" applyFont="1" applyBorder="1" applyAlignment="1">
      <alignment horizontal="center" vertical="center"/>
    </xf>
    <xf numFmtId="0" fontId="32" fillId="0" borderId="6" xfId="3" applyFont="1" applyBorder="1" applyAlignment="1">
      <alignment vertical="center"/>
    </xf>
    <xf numFmtId="0" fontId="3" fillId="0" borderId="7" xfId="3" applyFont="1" applyBorder="1" applyAlignment="1">
      <alignment horizontal="center" vertical="center"/>
    </xf>
    <xf numFmtId="0" fontId="23" fillId="0" borderId="9" xfId="6" applyFont="1" applyBorder="1"/>
    <xf numFmtId="0" fontId="23" fillId="0" borderId="5" xfId="6" applyFont="1" applyBorder="1"/>
    <xf numFmtId="2" fontId="0" fillId="0" borderId="0" xfId="0" applyNumberFormat="1"/>
    <xf numFmtId="168" fontId="28" fillId="0" borderId="54" xfId="6" applyNumberFormat="1" applyFont="1" applyBorder="1" applyAlignment="1">
      <alignment horizontal="center" vertical="center"/>
    </xf>
    <xf numFmtId="2" fontId="33" fillId="0" borderId="17" xfId="11" applyNumberFormat="1" applyFont="1" applyFill="1" applyBorder="1" applyAlignment="1">
      <alignment horizontal="center" vertical="center"/>
    </xf>
    <xf numFmtId="1" fontId="0" fillId="0" borderId="0" xfId="0" applyNumberFormat="1"/>
    <xf numFmtId="0" fontId="36" fillId="3" borderId="38" xfId="0" applyFont="1" applyFill="1" applyBorder="1" applyAlignment="1">
      <alignment horizontal="center" vertical="center"/>
    </xf>
    <xf numFmtId="0" fontId="36" fillId="0" borderId="43" xfId="0" applyFont="1" applyBorder="1" applyAlignment="1">
      <alignment horizontal="center"/>
    </xf>
    <xf numFmtId="2" fontId="36" fillId="0" borderId="47" xfId="0" applyNumberFormat="1" applyFont="1" applyBorder="1" applyAlignment="1">
      <alignment horizontal="center"/>
    </xf>
    <xf numFmtId="2" fontId="35" fillId="0" borderId="47" xfId="0" applyNumberFormat="1" applyFont="1" applyBorder="1" applyAlignment="1">
      <alignment horizontal="center"/>
    </xf>
    <xf numFmtId="0" fontId="35" fillId="0" borderId="47" xfId="0" applyFont="1" applyBorder="1" applyAlignment="1">
      <alignment horizontal="center"/>
    </xf>
    <xf numFmtId="169" fontId="15" fillId="0" borderId="47" xfId="0" applyNumberFormat="1" applyFont="1" applyBorder="1" applyAlignment="1">
      <alignment horizontal="center" vertical="center"/>
    </xf>
    <xf numFmtId="0" fontId="18" fillId="0" borderId="107" xfId="0" applyFont="1" applyBorder="1" applyAlignment="1">
      <alignment horizontal="center"/>
    </xf>
    <xf numFmtId="0" fontId="15" fillId="0" borderId="36" xfId="0" applyFont="1" applyBorder="1"/>
    <xf numFmtId="0" fontId="15" fillId="0" borderId="21" xfId="0" applyFont="1" applyBorder="1"/>
    <xf numFmtId="0" fontId="21" fillId="0" borderId="21" xfId="0" applyFont="1" applyBorder="1"/>
    <xf numFmtId="0" fontId="7" fillId="0" borderId="55" xfId="0" applyFont="1" applyBorder="1"/>
    <xf numFmtId="2" fontId="40" fillId="0" borderId="0" xfId="0" applyNumberFormat="1" applyFont="1" applyAlignment="1">
      <alignment horizontal="center"/>
    </xf>
    <xf numFmtId="2" fontId="0" fillId="0" borderId="0" xfId="0" applyNumberFormat="1" applyAlignment="1">
      <alignment vertical="center"/>
    </xf>
    <xf numFmtId="0" fontId="47" fillId="0" borderId="83" xfId="0" applyFont="1" applyBorder="1" applyAlignment="1">
      <alignment horizontal="center" vertical="center"/>
    </xf>
    <xf numFmtId="2" fontId="47" fillId="0" borderId="44" xfId="0" applyNumberFormat="1" applyFont="1" applyBorder="1" applyAlignment="1">
      <alignment horizontal="center" vertical="center"/>
    </xf>
    <xf numFmtId="0" fontId="49" fillId="0" borderId="83" xfId="0" applyFont="1" applyBorder="1" applyAlignment="1">
      <alignment horizontal="center" vertical="center"/>
    </xf>
    <xf numFmtId="2" fontId="48" fillId="0" borderId="46" xfId="0" applyNumberFormat="1" applyFont="1" applyBorder="1" applyAlignment="1">
      <alignment horizontal="center" vertical="center"/>
    </xf>
    <xf numFmtId="0" fontId="52" fillId="0" borderId="50" xfId="0" applyFont="1" applyBorder="1" applyAlignment="1">
      <alignment horizontal="center" vertical="center"/>
    </xf>
    <xf numFmtId="171" fontId="47" fillId="0" borderId="51" xfId="1" applyNumberFormat="1" applyFont="1" applyBorder="1" applyAlignment="1">
      <alignment horizontal="left" vertical="center"/>
    </xf>
    <xf numFmtId="0" fontId="49" fillId="0" borderId="88" xfId="0" applyFont="1" applyBorder="1" applyAlignment="1">
      <alignment vertical="center"/>
    </xf>
    <xf numFmtId="0" fontId="49" fillId="0" borderId="20" xfId="0" applyFont="1" applyBorder="1" applyAlignment="1">
      <alignment vertical="center"/>
    </xf>
    <xf numFmtId="2" fontId="49" fillId="0" borderId="20" xfId="0" applyNumberFormat="1" applyFont="1" applyBorder="1" applyAlignment="1">
      <alignment horizontal="center" vertical="center"/>
    </xf>
    <xf numFmtId="0" fontId="49" fillId="0" borderId="17" xfId="0" applyFont="1" applyBorder="1" applyAlignment="1">
      <alignment vertical="center"/>
    </xf>
    <xf numFmtId="0" fontId="49" fillId="0" borderId="89" xfId="0" applyFont="1" applyBorder="1" applyAlignment="1">
      <alignment vertical="center"/>
    </xf>
    <xf numFmtId="2" fontId="47" fillId="0" borderId="17" xfId="0" applyNumberFormat="1" applyFont="1" applyBorder="1" applyAlignment="1">
      <alignment horizontal="center" vertical="center"/>
    </xf>
    <xf numFmtId="49" fontId="47" fillId="0" borderId="44" xfId="0" applyNumberFormat="1" applyFont="1" applyBorder="1" applyAlignment="1">
      <alignment vertical="center" wrapText="1"/>
    </xf>
    <xf numFmtId="49" fontId="49" fillId="0" borderId="44" xfId="0" applyNumberFormat="1" applyFont="1" applyBorder="1" applyAlignment="1">
      <alignment horizontal="left" vertical="center"/>
    </xf>
    <xf numFmtId="49" fontId="50" fillId="0" borderId="44" xfId="0" applyNumberFormat="1" applyFont="1" applyBorder="1" applyAlignment="1">
      <alignment horizontal="left" vertical="center"/>
    </xf>
    <xf numFmtId="49" fontId="50" fillId="0" borderId="44" xfId="0" applyNumberFormat="1" applyFont="1" applyBorder="1" applyAlignment="1">
      <alignment horizontal="left" vertical="center" wrapText="1"/>
    </xf>
    <xf numFmtId="49" fontId="36" fillId="0" borderId="44" xfId="0" applyNumberFormat="1" applyFont="1" applyBorder="1" applyAlignment="1">
      <alignment vertical="center" wrapText="1"/>
    </xf>
    <xf numFmtId="0" fontId="36" fillId="0" borderId="110" xfId="0" applyFont="1" applyBorder="1" applyAlignment="1">
      <alignment horizontal="center" vertical="center"/>
    </xf>
    <xf numFmtId="0" fontId="47" fillId="0" borderId="25" xfId="0" applyFont="1" applyBorder="1" applyAlignment="1">
      <alignment horizontal="left" vertical="center"/>
    </xf>
    <xf numFmtId="0" fontId="47" fillId="0" borderId="51" xfId="0" applyFont="1" applyBorder="1" applyAlignment="1">
      <alignment horizontal="left" vertical="center"/>
    </xf>
    <xf numFmtId="2" fontId="33" fillId="0" borderId="17" xfId="10" applyNumberFormat="1" applyFont="1" applyBorder="1" applyAlignment="1">
      <alignment horizontal="center" vertical="center" wrapText="1"/>
    </xf>
    <xf numFmtId="0" fontId="6" fillId="0" borderId="0" xfId="3" applyFont="1" applyAlignment="1">
      <alignment vertical="center"/>
    </xf>
    <xf numFmtId="2" fontId="28" fillId="0" borderId="54" xfId="6" applyNumberFormat="1" applyFont="1" applyBorder="1" applyAlignment="1">
      <alignment horizontal="center" vertical="center"/>
    </xf>
    <xf numFmtId="0" fontId="0" fillId="0" borderId="0" xfId="3" applyFont="1" applyAlignment="1">
      <alignment vertical="center"/>
    </xf>
    <xf numFmtId="167" fontId="33" fillId="0" borderId="17" xfId="10" applyNumberFormat="1" applyFont="1" applyBorder="1" applyAlignment="1">
      <alignment horizontal="center" vertical="center" wrapText="1"/>
    </xf>
    <xf numFmtId="2" fontId="49" fillId="0" borderId="49" xfId="0" applyNumberFormat="1" applyFont="1" applyBorder="1" applyAlignment="1">
      <alignment horizontal="left" vertical="center"/>
    </xf>
    <xf numFmtId="2" fontId="49" fillId="0" borderId="77" xfId="0" applyNumberFormat="1" applyFont="1" applyBorder="1" applyAlignment="1">
      <alignment horizontal="left" vertical="center"/>
    </xf>
    <xf numFmtId="2" fontId="49" fillId="0" borderId="78" xfId="0" applyNumberFormat="1" applyFont="1" applyBorder="1" applyAlignment="1">
      <alignment horizontal="left" vertical="center"/>
    </xf>
    <xf numFmtId="0" fontId="47" fillId="3" borderId="39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17" fillId="0" borderId="30" xfId="0" applyFont="1" applyFill="1" applyBorder="1" applyAlignment="1">
      <alignment horizontal="center" vertical="center"/>
    </xf>
    <xf numFmtId="0" fontId="49" fillId="0" borderId="31" xfId="0" applyFont="1" applyFill="1" applyBorder="1" applyAlignment="1">
      <alignment horizontal="left" vertical="center"/>
    </xf>
    <xf numFmtId="0" fontId="49" fillId="0" borderId="31" xfId="0" applyFont="1" applyFill="1" applyBorder="1" applyAlignment="1">
      <alignment horizontal="center" vertical="center"/>
    </xf>
    <xf numFmtId="0" fontId="47" fillId="0" borderId="31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9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left" vertical="center"/>
    </xf>
    <xf numFmtId="0" fontId="4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32" xfId="0" applyFont="1" applyFill="1" applyBorder="1" applyAlignment="1">
      <alignment horizontal="center" vertical="center"/>
    </xf>
    <xf numFmtId="0" fontId="49" fillId="0" borderId="0" xfId="0" applyFont="1" applyBorder="1" applyAlignment="1">
      <alignment horizontal="left" vertical="center"/>
    </xf>
    <xf numFmtId="0" fontId="47" fillId="0" borderId="33" xfId="0" applyFont="1" applyFill="1" applyBorder="1" applyAlignment="1">
      <alignment horizontal="center" vertical="center"/>
    </xf>
    <xf numFmtId="0" fontId="47" fillId="0" borderId="33" xfId="0" applyFont="1" applyFill="1" applyBorder="1" applyAlignment="1">
      <alignment horizontal="left" vertical="center"/>
    </xf>
    <xf numFmtId="0" fontId="17" fillId="0" borderId="33" xfId="0" applyFont="1" applyFill="1" applyBorder="1" applyAlignment="1">
      <alignment horizontal="center" vertical="center"/>
    </xf>
    <xf numFmtId="0" fontId="47" fillId="3" borderId="56" xfId="0" applyFont="1" applyFill="1" applyBorder="1" applyAlignment="1">
      <alignment horizontal="center" vertical="center"/>
    </xf>
    <xf numFmtId="2" fontId="55" fillId="0" borderId="44" xfId="0" applyNumberFormat="1" applyFont="1" applyBorder="1" applyAlignment="1">
      <alignment horizontal="center" vertical="center"/>
    </xf>
    <xf numFmtId="2" fontId="49" fillId="0" borderId="44" xfId="0" applyNumberFormat="1" applyFont="1" applyFill="1" applyBorder="1" applyAlignment="1">
      <alignment horizontal="center" vertical="center"/>
    </xf>
    <xf numFmtId="2" fontId="0" fillId="0" borderId="0" xfId="0" applyNumberFormat="1" applyBorder="1" applyAlignment="1">
      <alignment vertical="center"/>
    </xf>
    <xf numFmtId="49" fontId="49" fillId="0" borderId="44" xfId="0" applyNumberFormat="1" applyFont="1" applyBorder="1" applyAlignment="1">
      <alignment horizontal="left" vertical="center" wrapText="1"/>
    </xf>
    <xf numFmtId="49" fontId="51" fillId="0" borderId="44" xfId="0" applyNumberFormat="1" applyFont="1" applyBorder="1" applyAlignment="1">
      <alignment horizontal="left" vertical="center"/>
    </xf>
    <xf numFmtId="2" fontId="55" fillId="0" borderId="46" xfId="0" applyNumberFormat="1" applyFont="1" applyBorder="1" applyAlignment="1">
      <alignment horizontal="center" vertical="center"/>
    </xf>
    <xf numFmtId="49" fontId="51" fillId="0" borderId="44" xfId="0" applyNumberFormat="1" applyFont="1" applyBorder="1" applyAlignment="1">
      <alignment horizontal="left" vertical="center" wrapText="1"/>
    </xf>
    <xf numFmtId="171" fontId="47" fillId="0" borderId="51" xfId="1" applyNumberFormat="1" applyFont="1" applyBorder="1" applyAlignment="1">
      <alignment horizontal="center" vertical="center"/>
    </xf>
    <xf numFmtId="0" fontId="49" fillId="0" borderId="19" xfId="0" applyFont="1" applyBorder="1" applyAlignment="1">
      <alignment horizontal="left" vertical="center"/>
    </xf>
    <xf numFmtId="0" fontId="15" fillId="0" borderId="31" xfId="0" applyFont="1" applyFill="1" applyBorder="1" applyAlignment="1">
      <alignment horizontal="left"/>
    </xf>
    <xf numFmtId="0" fontId="0" fillId="0" borderId="31" xfId="0" applyBorder="1" applyAlignment="1"/>
    <xf numFmtId="0" fontId="56" fillId="0" borderId="0" xfId="0" applyFont="1" applyFill="1" applyBorder="1" applyAlignment="1">
      <alignment horizontal="left"/>
    </xf>
    <xf numFmtId="0" fontId="56" fillId="0" borderId="0" xfId="0" applyFont="1"/>
    <xf numFmtId="0" fontId="57" fillId="0" borderId="0" xfId="0" applyFont="1"/>
    <xf numFmtId="0" fontId="57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170" fontId="56" fillId="0" borderId="0" xfId="0" applyNumberFormat="1" applyFont="1" applyAlignment="1"/>
    <xf numFmtId="0" fontId="56" fillId="0" borderId="0" xfId="0" applyFont="1" applyFill="1" applyBorder="1" applyAlignment="1">
      <alignment horizontal="center"/>
    </xf>
    <xf numFmtId="0" fontId="56" fillId="0" borderId="0" xfId="8" applyFont="1" applyBorder="1"/>
    <xf numFmtId="0" fontId="48" fillId="0" borderId="0" xfId="0" applyFont="1"/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59" fillId="0" borderId="0" xfId="0" applyFont="1"/>
    <xf numFmtId="0" fontId="60" fillId="0" borderId="0" xfId="0" applyFont="1"/>
    <xf numFmtId="0" fontId="49" fillId="0" borderId="0" xfId="0" applyFont="1"/>
    <xf numFmtId="0" fontId="61" fillId="0" borderId="0" xfId="0" applyFont="1"/>
    <xf numFmtId="0" fontId="6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8" fillId="0" borderId="0" xfId="3" applyFont="1" applyAlignment="1">
      <alignment horizontal="right" vertical="center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30" fillId="0" borderId="1" xfId="3" applyFont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/>
    </xf>
    <xf numFmtId="166" fontId="9" fillId="0" borderId="0" xfId="3" applyNumberFormat="1" applyFont="1" applyAlignment="1">
      <alignment horizontal="left" vertical="center"/>
    </xf>
    <xf numFmtId="0" fontId="10" fillId="0" borderId="2" xfId="3" applyFont="1" applyBorder="1" applyAlignment="1">
      <alignment horizontal="center" vertical="center"/>
    </xf>
    <xf numFmtId="0" fontId="11" fillId="0" borderId="3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0" fillId="0" borderId="3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2" fillId="0" borderId="5" xfId="3" applyFont="1" applyBorder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9" fillId="0" borderId="6" xfId="3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97" xfId="0" applyBorder="1" applyAlignment="1">
      <alignment horizontal="center"/>
    </xf>
    <xf numFmtId="166" fontId="39" fillId="0" borderId="0" xfId="0" applyNumberFormat="1" applyFont="1" applyAlignment="1">
      <alignment horizontal="left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76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96" xfId="0" applyFont="1" applyBorder="1" applyAlignment="1">
      <alignment horizontal="center"/>
    </xf>
    <xf numFmtId="0" fontId="36" fillId="0" borderId="43" xfId="0" applyFont="1" applyBorder="1" applyAlignment="1">
      <alignment horizontal="center"/>
    </xf>
    <xf numFmtId="0" fontId="36" fillId="0" borderId="84" xfId="0" applyFont="1" applyBorder="1" applyAlignment="1">
      <alignment horizontal="center"/>
    </xf>
    <xf numFmtId="0" fontId="36" fillId="0" borderId="85" xfId="0" applyFont="1" applyBorder="1" applyAlignment="1">
      <alignment horizontal="center"/>
    </xf>
    <xf numFmtId="2" fontId="15" fillId="0" borderId="49" xfId="0" applyNumberFormat="1" applyFont="1" applyBorder="1" applyAlignment="1">
      <alignment horizontal="left"/>
    </xf>
    <xf numFmtId="2" fontId="15" fillId="0" borderId="77" xfId="0" applyNumberFormat="1" applyFont="1" applyBorder="1" applyAlignment="1">
      <alignment horizontal="left"/>
    </xf>
    <xf numFmtId="2" fontId="15" fillId="0" borderId="78" xfId="0" applyNumberFormat="1" applyFont="1" applyBorder="1" applyAlignment="1">
      <alignment horizontal="left"/>
    </xf>
    <xf numFmtId="0" fontId="15" fillId="0" borderId="49" xfId="0" applyFont="1" applyBorder="1" applyAlignment="1">
      <alignment horizontal="center"/>
    </xf>
    <xf numFmtId="0" fontId="15" fillId="0" borderId="77" xfId="0" applyFont="1" applyBorder="1" applyAlignment="1">
      <alignment horizontal="center"/>
    </xf>
    <xf numFmtId="0" fontId="15" fillId="0" borderId="78" xfId="0" applyFont="1" applyBorder="1" applyAlignment="1">
      <alignment horizontal="center"/>
    </xf>
    <xf numFmtId="0" fontId="36" fillId="3" borderId="35" xfId="0" applyFont="1" applyFill="1" applyBorder="1" applyAlignment="1">
      <alignment horizontal="center" vertical="center"/>
    </xf>
    <xf numFmtId="0" fontId="36" fillId="3" borderId="26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82" xfId="0" applyFont="1" applyBorder="1" applyAlignment="1">
      <alignment horizontal="center"/>
    </xf>
    <xf numFmtId="0" fontId="36" fillId="3" borderId="86" xfId="0" applyFont="1" applyFill="1" applyBorder="1" applyAlignment="1">
      <alignment horizontal="center" vertical="center"/>
    </xf>
    <xf numFmtId="0" fontId="36" fillId="3" borderId="39" xfId="0" applyFont="1" applyFill="1" applyBorder="1" applyAlignment="1">
      <alignment horizontal="center" vertical="center"/>
    </xf>
    <xf numFmtId="0" fontId="36" fillId="3" borderId="37" xfId="0" applyFont="1" applyFill="1" applyBorder="1" applyAlignment="1">
      <alignment horizontal="center"/>
    </xf>
    <xf numFmtId="0" fontId="36" fillId="3" borderId="17" xfId="0" applyFont="1" applyFill="1" applyBorder="1" applyAlignment="1">
      <alignment horizontal="center" vertical="center"/>
    </xf>
    <xf numFmtId="0" fontId="36" fillId="3" borderId="69" xfId="0" applyFont="1" applyFill="1" applyBorder="1" applyAlignment="1">
      <alignment horizontal="center" vertical="center"/>
    </xf>
    <xf numFmtId="0" fontId="36" fillId="3" borderId="71" xfId="0" applyFont="1" applyFill="1" applyBorder="1" applyAlignment="1">
      <alignment horizontal="center" vertical="center"/>
    </xf>
    <xf numFmtId="0" fontId="36" fillId="3" borderId="40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4" xfId="0" applyFont="1" applyFill="1" applyBorder="1" applyAlignment="1">
      <alignment horizontal="center" vertical="center"/>
    </xf>
    <xf numFmtId="0" fontId="36" fillId="3" borderId="25" xfId="0" applyFont="1" applyFill="1" applyBorder="1" applyAlignment="1">
      <alignment horizontal="center" vertical="center"/>
    </xf>
    <xf numFmtId="0" fontId="35" fillId="0" borderId="31" xfId="0" applyFont="1" applyBorder="1" applyAlignment="1">
      <alignment horizontal="left"/>
    </xf>
    <xf numFmtId="0" fontId="35" fillId="0" borderId="74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34" xfId="0" applyFont="1" applyBorder="1" applyAlignment="1">
      <alignment horizontal="left"/>
    </xf>
    <xf numFmtId="0" fontId="36" fillId="0" borderId="33" xfId="0" applyFont="1" applyBorder="1" applyAlignment="1">
      <alignment horizontal="center"/>
    </xf>
    <xf numFmtId="0" fontId="36" fillId="0" borderId="75" xfId="0" applyFont="1" applyBorder="1" applyAlignment="1">
      <alignment horizontal="center"/>
    </xf>
    <xf numFmtId="0" fontId="36" fillId="3" borderId="52" xfId="0" applyFont="1" applyFill="1" applyBorder="1" applyAlignment="1">
      <alignment horizontal="center" vertical="center"/>
    </xf>
    <xf numFmtId="0" fontId="36" fillId="3" borderId="31" xfId="0" applyFont="1" applyFill="1" applyBorder="1" applyAlignment="1">
      <alignment horizontal="center" vertical="center"/>
    </xf>
    <xf numFmtId="0" fontId="36" fillId="3" borderId="74" xfId="0" applyFont="1" applyFill="1" applyBorder="1" applyAlignment="1">
      <alignment horizontal="center" vertical="center"/>
    </xf>
    <xf numFmtId="0" fontId="36" fillId="3" borderId="38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34" xfId="0" applyFont="1" applyFill="1" applyBorder="1" applyAlignment="1">
      <alignment horizontal="center" vertical="center"/>
    </xf>
    <xf numFmtId="0" fontId="36" fillId="3" borderId="53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75" xfId="0" applyFont="1" applyFill="1" applyBorder="1" applyAlignment="1">
      <alignment horizontal="center" vertical="center"/>
    </xf>
    <xf numFmtId="2" fontId="49" fillId="0" borderId="49" xfId="0" applyNumberFormat="1" applyFont="1" applyBorder="1" applyAlignment="1">
      <alignment horizontal="left" vertical="center"/>
    </xf>
    <xf numFmtId="2" fontId="49" fillId="0" borderId="77" xfId="0" applyNumberFormat="1" applyFont="1" applyBorder="1" applyAlignment="1">
      <alignment horizontal="left" vertical="center"/>
    </xf>
    <xf numFmtId="2" fontId="49" fillId="0" borderId="78" xfId="0" applyNumberFormat="1" applyFont="1" applyBorder="1" applyAlignment="1">
      <alignment horizontal="left" vertical="center"/>
    </xf>
    <xf numFmtId="0" fontId="54" fillId="0" borderId="0" xfId="0" applyFont="1" applyAlignment="1">
      <alignment horizontal="left"/>
    </xf>
    <xf numFmtId="0" fontId="53" fillId="0" borderId="27" xfId="0" applyFont="1" applyBorder="1" applyAlignment="1">
      <alignment horizontal="center" vertical="center"/>
    </xf>
    <xf numFmtId="0" fontId="53" fillId="0" borderId="28" xfId="0" applyFont="1" applyBorder="1" applyAlignment="1">
      <alignment horizontal="center" vertical="center"/>
    </xf>
    <xf numFmtId="0" fontId="53" fillId="0" borderId="82" xfId="0" applyFont="1" applyBorder="1" applyAlignment="1">
      <alignment horizontal="center" vertical="center"/>
    </xf>
    <xf numFmtId="0" fontId="49" fillId="0" borderId="31" xfId="0" applyFont="1" applyFill="1" applyBorder="1" applyAlignment="1">
      <alignment horizontal="left" vertical="center"/>
    </xf>
    <xf numFmtId="0" fontId="49" fillId="0" borderId="74" xfId="0" applyFont="1" applyFill="1" applyBorder="1" applyAlignment="1">
      <alignment horizontal="left" vertical="center"/>
    </xf>
    <xf numFmtId="0" fontId="49" fillId="0" borderId="0" xfId="0" applyFont="1" applyFill="1" applyBorder="1" applyAlignment="1">
      <alignment horizontal="left" vertical="center"/>
    </xf>
    <xf numFmtId="0" fontId="49" fillId="0" borderId="34" xfId="0" applyFont="1" applyFill="1" applyBorder="1" applyAlignment="1">
      <alignment horizontal="left" vertical="center"/>
    </xf>
    <xf numFmtId="0" fontId="39" fillId="0" borderId="33" xfId="0" applyFont="1" applyFill="1" applyBorder="1" applyAlignment="1">
      <alignment horizontal="left" vertical="center"/>
    </xf>
    <xf numFmtId="0" fontId="39" fillId="0" borderId="75" xfId="0" applyFont="1" applyFill="1" applyBorder="1" applyAlignment="1">
      <alignment horizontal="left" vertical="center"/>
    </xf>
    <xf numFmtId="0" fontId="47" fillId="3" borderId="108" xfId="0" applyFont="1" applyFill="1" applyBorder="1" applyAlignment="1">
      <alignment horizontal="center" vertical="center"/>
    </xf>
    <xf numFmtId="0" fontId="47" fillId="3" borderId="86" xfId="0" applyFont="1" applyFill="1" applyBorder="1" applyAlignment="1">
      <alignment horizontal="center" vertical="center"/>
    </xf>
    <xf numFmtId="0" fontId="47" fillId="3" borderId="109" xfId="0" applyFont="1" applyFill="1" applyBorder="1" applyAlignment="1">
      <alignment horizontal="center" vertical="center"/>
    </xf>
    <xf numFmtId="0" fontId="47" fillId="3" borderId="35" xfId="0" applyFont="1" applyFill="1" applyBorder="1" applyAlignment="1">
      <alignment horizontal="center" vertical="center"/>
    </xf>
    <xf numFmtId="0" fontId="47" fillId="3" borderId="26" xfId="0" applyFont="1" applyFill="1" applyBorder="1" applyAlignment="1">
      <alignment horizontal="center" vertical="center"/>
    </xf>
    <xf numFmtId="0" fontId="47" fillId="3" borderId="39" xfId="0" applyFont="1" applyFill="1" applyBorder="1" applyAlignment="1">
      <alignment horizontal="center" vertical="center"/>
    </xf>
    <xf numFmtId="0" fontId="47" fillId="3" borderId="52" xfId="0" applyFont="1" applyFill="1" applyBorder="1" applyAlignment="1">
      <alignment horizontal="center" vertical="center"/>
    </xf>
    <xf numFmtId="0" fontId="47" fillId="3" borderId="31" xfId="0" applyFont="1" applyFill="1" applyBorder="1" applyAlignment="1">
      <alignment horizontal="center" vertical="center"/>
    </xf>
    <xf numFmtId="0" fontId="47" fillId="3" borderId="111" xfId="0" applyFont="1" applyFill="1" applyBorder="1" applyAlignment="1">
      <alignment horizontal="center" vertical="center"/>
    </xf>
    <xf numFmtId="0" fontId="47" fillId="3" borderId="74" xfId="0" applyFont="1" applyFill="1" applyBorder="1" applyAlignment="1">
      <alignment horizontal="center" vertical="center"/>
    </xf>
    <xf numFmtId="0" fontId="47" fillId="3" borderId="38" xfId="0" applyFont="1" applyFill="1" applyBorder="1" applyAlignment="1">
      <alignment horizontal="center" vertical="center"/>
    </xf>
    <xf numFmtId="0" fontId="47" fillId="3" borderId="0" xfId="0" applyFont="1" applyFill="1" applyBorder="1" applyAlignment="1">
      <alignment horizontal="center" vertical="center"/>
    </xf>
    <xf numFmtId="0" fontId="47" fillId="3" borderId="34" xfId="0" applyFont="1" applyFill="1" applyBorder="1" applyAlignment="1">
      <alignment horizontal="center" vertical="center"/>
    </xf>
    <xf numFmtId="0" fontId="47" fillId="3" borderId="53" xfId="0" applyFont="1" applyFill="1" applyBorder="1" applyAlignment="1">
      <alignment horizontal="center" vertical="center"/>
    </xf>
    <xf numFmtId="0" fontId="47" fillId="3" borderId="33" xfId="0" applyFont="1" applyFill="1" applyBorder="1" applyAlignment="1">
      <alignment horizontal="center" vertical="center"/>
    </xf>
    <xf numFmtId="0" fontId="47" fillId="3" borderId="75" xfId="0" applyFont="1" applyFill="1" applyBorder="1" applyAlignment="1">
      <alignment horizontal="center" vertical="center"/>
    </xf>
    <xf numFmtId="0" fontId="47" fillId="3" borderId="21" xfId="0" applyFont="1" applyFill="1" applyBorder="1" applyAlignment="1">
      <alignment horizontal="center" vertical="center"/>
    </xf>
    <xf numFmtId="0" fontId="47" fillId="3" borderId="19" xfId="0" applyFont="1" applyFill="1" applyBorder="1" applyAlignment="1">
      <alignment horizontal="center" vertical="center"/>
    </xf>
    <xf numFmtId="0" fontId="47" fillId="3" borderId="22" xfId="0" applyFont="1" applyFill="1" applyBorder="1" applyAlignment="1">
      <alignment horizontal="center" vertical="center"/>
    </xf>
    <xf numFmtId="0" fontId="47" fillId="3" borderId="17" xfId="0" applyFont="1" applyFill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0" fontId="49" fillId="0" borderId="76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96" xfId="0" applyFont="1" applyBorder="1" applyAlignment="1">
      <alignment horizontal="center" vertical="center"/>
    </xf>
    <xf numFmtId="166" fontId="32" fillId="0" borderId="0" xfId="3" applyNumberFormat="1" applyFont="1" applyAlignment="1">
      <alignment horizontal="left" vertical="center"/>
    </xf>
    <xf numFmtId="166" fontId="32" fillId="0" borderId="6" xfId="3" applyNumberFormat="1" applyFont="1" applyBorder="1" applyAlignment="1">
      <alignment horizontal="left" vertical="center"/>
    </xf>
    <xf numFmtId="0" fontId="28" fillId="0" borderId="36" xfId="6" applyFont="1" applyBorder="1" applyAlignment="1">
      <alignment horizontal="center" vertical="center" wrapText="1"/>
    </xf>
    <xf numFmtId="0" fontId="28" fillId="0" borderId="37" xfId="6" applyFont="1" applyBorder="1" applyAlignment="1">
      <alignment horizontal="center" vertical="center" wrapText="1"/>
    </xf>
    <xf numFmtId="0" fontId="28" fillId="0" borderId="90" xfId="6" applyFont="1" applyBorder="1" applyAlignment="1">
      <alignment horizontal="center" vertical="center" wrapText="1"/>
    </xf>
    <xf numFmtId="0" fontId="28" fillId="0" borderId="21" xfId="6" applyFont="1" applyBorder="1" applyAlignment="1">
      <alignment horizontal="center" vertical="center" wrapText="1"/>
    </xf>
    <xf numFmtId="0" fontId="28" fillId="0" borderId="22" xfId="6" applyFont="1" applyBorder="1" applyAlignment="1">
      <alignment horizontal="center" vertical="center" wrapText="1"/>
    </xf>
    <xf numFmtId="0" fontId="28" fillId="0" borderId="19" xfId="6" applyFont="1" applyBorder="1" applyAlignment="1">
      <alignment horizontal="center" vertical="center" wrapText="1"/>
    </xf>
    <xf numFmtId="0" fontId="27" fillId="0" borderId="58" xfId="6" applyFont="1" applyBorder="1" applyAlignment="1">
      <alignment horizontal="center" vertical="center"/>
    </xf>
    <xf numFmtId="0" fontId="27" fillId="0" borderId="28" xfId="6" applyFont="1" applyBorder="1" applyAlignment="1">
      <alignment horizontal="center" vertical="center"/>
    </xf>
    <xf numFmtId="0" fontId="27" fillId="0" borderId="59" xfId="6" applyFont="1" applyBorder="1" applyAlignment="1">
      <alignment horizontal="center" vertical="center"/>
    </xf>
    <xf numFmtId="0" fontId="28" fillId="0" borderId="63" xfId="6" applyFont="1" applyBorder="1" applyAlignment="1">
      <alignment horizontal="center" vertical="center"/>
    </xf>
    <xf numFmtId="0" fontId="28" fillId="0" borderId="65" xfId="6" applyFont="1" applyBorder="1" applyAlignment="1">
      <alignment horizontal="center" vertical="center"/>
    </xf>
    <xf numFmtId="0" fontId="28" fillId="0" borderId="67" xfId="6" applyFont="1" applyBorder="1" applyAlignment="1">
      <alignment horizontal="center" vertical="center"/>
    </xf>
    <xf numFmtId="0" fontId="28" fillId="0" borderId="64" xfId="6" applyFont="1" applyBorder="1" applyAlignment="1">
      <alignment horizontal="center" vertical="center" wrapText="1"/>
    </xf>
    <xf numFmtId="0" fontId="28" fillId="0" borderId="66" xfId="6" applyFont="1" applyBorder="1" applyAlignment="1">
      <alignment horizontal="center" vertical="center"/>
    </xf>
    <xf numFmtId="0" fontId="28" fillId="0" borderId="68" xfId="6" applyFont="1" applyBorder="1" applyAlignment="1">
      <alignment horizontal="center" vertical="center"/>
    </xf>
    <xf numFmtId="0" fontId="24" fillId="0" borderId="60" xfId="6" applyFont="1" applyBorder="1" applyAlignment="1">
      <alignment horizontal="left" vertical="center"/>
    </xf>
    <xf numFmtId="0" fontId="24" fillId="0" borderId="31" xfId="6" applyFont="1" applyBorder="1" applyAlignment="1">
      <alignment horizontal="left" vertical="center"/>
    </xf>
    <xf numFmtId="0" fontId="24" fillId="0" borderId="5" xfId="6" applyFont="1" applyBorder="1" applyAlignment="1">
      <alignment horizontal="left" vertical="center"/>
    </xf>
    <xf numFmtId="0" fontId="24" fillId="0" borderId="0" xfId="6" applyFont="1" applyAlignment="1">
      <alignment horizontal="left" vertical="center"/>
    </xf>
    <xf numFmtId="0" fontId="24" fillId="0" borderId="73" xfId="6" applyFont="1" applyBorder="1" applyAlignment="1">
      <alignment horizontal="left" vertical="center"/>
    </xf>
    <xf numFmtId="0" fontId="24" fillId="0" borderId="33" xfId="6" applyFont="1" applyBorder="1" applyAlignment="1">
      <alignment horizontal="left" vertical="center"/>
    </xf>
    <xf numFmtId="0" fontId="28" fillId="0" borderId="35" xfId="6" applyFont="1" applyBorder="1" applyAlignment="1">
      <alignment horizontal="center" vertical="center"/>
    </xf>
    <xf numFmtId="0" fontId="28" fillId="0" borderId="26" xfId="6" applyFont="1" applyBorder="1" applyAlignment="1">
      <alignment horizontal="center" vertical="center"/>
    </xf>
    <xf numFmtId="0" fontId="28" fillId="0" borderId="39" xfId="6" applyFont="1" applyBorder="1" applyAlignment="1">
      <alignment horizontal="center" vertical="center"/>
    </xf>
    <xf numFmtId="0" fontId="28" fillId="0" borderId="35" xfId="6" applyFont="1" applyBorder="1" applyAlignment="1">
      <alignment horizontal="center" vertical="center" wrapText="1"/>
    </xf>
    <xf numFmtId="0" fontId="28" fillId="0" borderId="26" xfId="6" applyFont="1" applyBorder="1" applyAlignment="1">
      <alignment horizontal="center" vertical="center" wrapText="1"/>
    </xf>
    <xf numFmtId="0" fontId="28" fillId="0" borderId="39" xfId="6" applyFont="1" applyBorder="1" applyAlignment="1">
      <alignment horizontal="center" vertical="center" wrapText="1"/>
    </xf>
  </cellXfs>
  <cellStyles count="12">
    <cellStyle name="Comma" xfId="1" builtinId="3"/>
    <cellStyle name="Comma 6 2" xfId="11"/>
    <cellStyle name="Normal" xfId="0" builtinId="0"/>
    <cellStyle name="Normal 2" xfId="3"/>
    <cellStyle name="Normal 2 4 2" xfId="6"/>
    <cellStyle name="Normal 2 4 3" xfId="5"/>
    <cellStyle name="Normal 2 5" xfId="9"/>
    <cellStyle name="Normal 2 5 2" xfId="4"/>
    <cellStyle name="Normal 3" xfId="7"/>
    <cellStyle name="Normal 5" xfId="10"/>
    <cellStyle name="Normal_Laporan Harian Proyek Konst &amp; Progress Pemel." xfId="8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19214928"/>
        <c:axId val="-819224720"/>
      </c:lineChart>
      <c:catAx>
        <c:axId val="-819214928"/>
        <c:scaling>
          <c:orientation val="minMax"/>
        </c:scaling>
        <c:delete val="1"/>
        <c:axPos val="b"/>
        <c:majorTickMark val="none"/>
        <c:minorTickMark val="none"/>
        <c:tickLblPos val="nextTo"/>
        <c:crossAx val="-819224720"/>
        <c:crosses val="autoZero"/>
        <c:auto val="1"/>
        <c:lblAlgn val="ctr"/>
        <c:lblOffset val="100"/>
        <c:noMultiLvlLbl val="0"/>
      </c:catAx>
      <c:valAx>
        <c:axId val="-819224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81921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'CURVA S'!$E$38:$T$38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4.2857142857142856</c:v>
                </c:pt>
                <c:pt idx="2">
                  <c:v>10.571428571428571</c:v>
                </c:pt>
                <c:pt idx="3">
                  <c:v>16.857142857142858</c:v>
                </c:pt>
                <c:pt idx="4">
                  <c:v>23.142857142857142</c:v>
                </c:pt>
                <c:pt idx="5">
                  <c:v>31.928571428571427</c:v>
                </c:pt>
                <c:pt idx="6">
                  <c:v>40.714285714285708</c:v>
                </c:pt>
                <c:pt idx="7">
                  <c:v>49.499999999999993</c:v>
                </c:pt>
                <c:pt idx="8">
                  <c:v>58.285714285714278</c:v>
                </c:pt>
                <c:pt idx="9">
                  <c:v>67.071428571428555</c:v>
                </c:pt>
                <c:pt idx="10">
                  <c:v>75.857142857142833</c:v>
                </c:pt>
                <c:pt idx="11">
                  <c:v>84.64285714285711</c:v>
                </c:pt>
                <c:pt idx="12">
                  <c:v>91.428571428571402</c:v>
                </c:pt>
                <c:pt idx="13">
                  <c:v>95.714285714285694</c:v>
                </c:pt>
                <c:pt idx="14">
                  <c:v>99.999999999999986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2-43E6-AB9E-81D5F7C1B0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'CURVA S'!$E$40:$T$40</c:f>
              <c:numCache>
                <c:formatCode>0.00</c:formatCode>
                <c:ptCount val="15"/>
                <c:pt idx="0" formatCode="0">
                  <c:v>0</c:v>
                </c:pt>
                <c:pt idx="1">
                  <c:v>8.7928571428571445</c:v>
                </c:pt>
                <c:pt idx="2">
                  <c:v>17.578571428571429</c:v>
                </c:pt>
                <c:pt idx="3">
                  <c:v>23.15</c:v>
                </c:pt>
                <c:pt idx="4">
                  <c:v>28.721428571428568</c:v>
                </c:pt>
                <c:pt idx="5">
                  <c:v>33.332142857142856</c:v>
                </c:pt>
                <c:pt idx="6">
                  <c:v>40.767857142857139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D2-43E6-AB9E-81D5F7C1B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19225264"/>
        <c:axId val="-819213296"/>
      </c:lineChart>
      <c:catAx>
        <c:axId val="-819225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-819213296"/>
        <c:crosses val="autoZero"/>
        <c:auto val="1"/>
        <c:lblAlgn val="ctr"/>
        <c:lblOffset val="100"/>
        <c:noMultiLvlLbl val="0"/>
      </c:catAx>
      <c:valAx>
        <c:axId val="-81921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81922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19218736"/>
        <c:axId val="-819223632"/>
      </c:lineChart>
      <c:catAx>
        <c:axId val="-819218736"/>
        <c:scaling>
          <c:orientation val="minMax"/>
        </c:scaling>
        <c:delete val="1"/>
        <c:axPos val="b"/>
        <c:majorTickMark val="none"/>
        <c:minorTickMark val="none"/>
        <c:tickLblPos val="nextTo"/>
        <c:crossAx val="-819223632"/>
        <c:crosses val="autoZero"/>
        <c:auto val="1"/>
        <c:lblAlgn val="ctr"/>
        <c:lblOffset val="100"/>
        <c:noMultiLvlLbl val="0"/>
      </c:catAx>
      <c:valAx>
        <c:axId val="-81922363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-81921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19226352"/>
        <c:axId val="-819217104"/>
      </c:lineChart>
      <c:catAx>
        <c:axId val="-819226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-819217104"/>
        <c:crosses val="autoZero"/>
        <c:auto val="1"/>
        <c:lblAlgn val="ctr"/>
        <c:lblOffset val="100"/>
        <c:noMultiLvlLbl val="0"/>
      </c:catAx>
      <c:valAx>
        <c:axId val="-819217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81922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'CURVA S (2)'!$E$38:$T$38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4.2857142857142856</c:v>
                </c:pt>
                <c:pt idx="2">
                  <c:v>10.571428571428571</c:v>
                </c:pt>
                <c:pt idx="3">
                  <c:v>16.857142857142858</c:v>
                </c:pt>
                <c:pt idx="4">
                  <c:v>23.142857142857142</c:v>
                </c:pt>
                <c:pt idx="5">
                  <c:v>31.928571428571427</c:v>
                </c:pt>
                <c:pt idx="6">
                  <c:v>40.714285714285708</c:v>
                </c:pt>
                <c:pt idx="7">
                  <c:v>49.499999999999993</c:v>
                </c:pt>
                <c:pt idx="8">
                  <c:v>58.285714285714278</c:v>
                </c:pt>
                <c:pt idx="9">
                  <c:v>67.071428571428555</c:v>
                </c:pt>
                <c:pt idx="10">
                  <c:v>75.857142857142833</c:v>
                </c:pt>
                <c:pt idx="11">
                  <c:v>84.64285714285711</c:v>
                </c:pt>
                <c:pt idx="12">
                  <c:v>91.428571428571402</c:v>
                </c:pt>
                <c:pt idx="13">
                  <c:v>95.714285714285694</c:v>
                </c:pt>
                <c:pt idx="14">
                  <c:v>99.999999999999986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7-4657-B461-9B59D274F37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'CURVA S (2)'!$E$40:$T$40</c:f>
              <c:numCache>
                <c:formatCode>0.00</c:formatCode>
                <c:ptCount val="15"/>
                <c:pt idx="0" formatCode="0">
                  <c:v>0</c:v>
                </c:pt>
                <c:pt idx="1">
                  <c:v>8.7928571428571445</c:v>
                </c:pt>
                <c:pt idx="2">
                  <c:v>17.578571428571429</c:v>
                </c:pt>
                <c:pt idx="3">
                  <c:v>23.15</c:v>
                </c:pt>
                <c:pt idx="4">
                  <c:v>28.721428571428568</c:v>
                </c:pt>
                <c:pt idx="5">
                  <c:v>33.332142857142856</c:v>
                </c:pt>
                <c:pt idx="6">
                  <c:v>40.74285714285714</c:v>
                </c:pt>
                <c:pt idx="7">
                  <c:v>49.528571428571425</c:v>
                </c:pt>
                <c:pt idx="8">
                  <c:v>58.31428571428571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7-4657-B461-9B59D274F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61469344"/>
        <c:axId val="-819829216"/>
      </c:lineChart>
      <c:catAx>
        <c:axId val="-1261469344"/>
        <c:scaling>
          <c:orientation val="minMax"/>
        </c:scaling>
        <c:delete val="1"/>
        <c:axPos val="b"/>
        <c:majorTickMark val="none"/>
        <c:minorTickMark val="none"/>
        <c:tickLblPos val="nextTo"/>
        <c:crossAx val="-819829216"/>
        <c:crosses val="autoZero"/>
        <c:auto val="1"/>
        <c:lblAlgn val="ctr"/>
        <c:lblOffset val="100"/>
        <c:noMultiLvlLbl val="0"/>
      </c:catAx>
      <c:valAx>
        <c:axId val="-819829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2614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15067344"/>
        <c:axId val="-815066800"/>
      </c:lineChart>
      <c:catAx>
        <c:axId val="-815067344"/>
        <c:scaling>
          <c:orientation val="minMax"/>
        </c:scaling>
        <c:delete val="1"/>
        <c:axPos val="b"/>
        <c:majorTickMark val="none"/>
        <c:minorTickMark val="none"/>
        <c:tickLblPos val="nextTo"/>
        <c:crossAx val="-815066800"/>
        <c:crosses val="autoZero"/>
        <c:auto val="1"/>
        <c:lblAlgn val="ctr"/>
        <c:lblOffset val="100"/>
        <c:noMultiLvlLbl val="0"/>
      </c:catAx>
      <c:valAx>
        <c:axId val="-81506680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-81506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15077680"/>
        <c:axId val="-815066256"/>
      </c:lineChart>
      <c:catAx>
        <c:axId val="-815077680"/>
        <c:scaling>
          <c:orientation val="minMax"/>
        </c:scaling>
        <c:delete val="1"/>
        <c:axPos val="b"/>
        <c:majorTickMark val="none"/>
        <c:minorTickMark val="none"/>
        <c:tickLblPos val="nextTo"/>
        <c:crossAx val="-815066256"/>
        <c:crosses val="autoZero"/>
        <c:auto val="1"/>
        <c:lblAlgn val="ctr"/>
        <c:lblOffset val="100"/>
        <c:noMultiLvlLbl val="0"/>
      </c:catAx>
      <c:valAx>
        <c:axId val="-815066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81507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1.gif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4.xml"/><Relationship Id="rId1" Type="http://schemas.openxmlformats.org/officeDocument/2006/relationships/image" Target="../media/image1.gif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7.xml"/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380999</xdr:colOff>
      <xdr:row>6</xdr:row>
      <xdr:rowOff>0</xdr:rowOff>
    </xdr:from>
    <xdr:to>
      <xdr:col>16</xdr:col>
      <xdr:colOff>192748</xdr:colOff>
      <xdr:row>9</xdr:row>
      <xdr:rowOff>40547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51058" y="1355911"/>
          <a:ext cx="730632" cy="61204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4</xdr:col>
      <xdr:colOff>438151</xdr:colOff>
      <xdr:row>5</xdr:row>
      <xdr:rowOff>57150</xdr:rowOff>
    </xdr:from>
    <xdr:to>
      <xdr:col>6</xdr:col>
      <xdr:colOff>521459</xdr:colOff>
      <xdr:row>9</xdr:row>
      <xdr:rowOff>132981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851" y="1079500"/>
          <a:ext cx="889758" cy="818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560294</xdr:colOff>
      <xdr:row>1</xdr:row>
      <xdr:rowOff>137733</xdr:rowOff>
    </xdr:from>
    <xdr:ext cx="614893" cy="492738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122088" y="328233"/>
          <a:ext cx="614893" cy="49273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  <xdr:twoCellAnchor>
    <xdr:from>
      <xdr:col>40</xdr:col>
      <xdr:colOff>372834</xdr:colOff>
      <xdr:row>34</xdr:row>
      <xdr:rowOff>0</xdr:rowOff>
    </xdr:from>
    <xdr:to>
      <xdr:col>43</xdr:col>
      <xdr:colOff>231322</xdr:colOff>
      <xdr:row>35</xdr:row>
      <xdr:rowOff>149677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1177636</xdr:colOff>
      <xdr:row>0</xdr:row>
      <xdr:rowOff>0</xdr:rowOff>
    </xdr:from>
    <xdr:to>
      <xdr:col>2</xdr:col>
      <xdr:colOff>2036618</xdr:colOff>
      <xdr:row>4</xdr:row>
      <xdr:rowOff>83127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0"/>
          <a:ext cx="858982" cy="858982"/>
        </a:xfrm>
        <a:prstGeom prst="rect">
          <a:avLst/>
        </a:prstGeom>
      </xdr:spPr>
    </xdr:pic>
    <xdr:clientData/>
  </xdr:twoCellAnchor>
  <xdr:twoCellAnchor>
    <xdr:from>
      <xdr:col>4</xdr:col>
      <xdr:colOff>49866</xdr:colOff>
      <xdr:row>9</xdr:row>
      <xdr:rowOff>156728</xdr:rowOff>
    </xdr:from>
    <xdr:to>
      <xdr:col>20</xdr:col>
      <xdr:colOff>400916</xdr:colOff>
      <xdr:row>35</xdr:row>
      <xdr:rowOff>147356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62754</xdr:colOff>
      <xdr:row>31</xdr:row>
      <xdr:rowOff>152400</xdr:rowOff>
    </xdr:from>
    <xdr:to>
      <xdr:col>7</xdr:col>
      <xdr:colOff>457200</xdr:colOff>
      <xdr:row>35</xdr:row>
      <xdr:rowOff>134471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560294</xdr:colOff>
      <xdr:row>1</xdr:row>
      <xdr:rowOff>137733</xdr:rowOff>
    </xdr:from>
    <xdr:ext cx="614893" cy="49273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085669" y="328233"/>
          <a:ext cx="614893" cy="49273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  <xdr:twoCellAnchor>
    <xdr:from>
      <xdr:col>41</xdr:col>
      <xdr:colOff>372834</xdr:colOff>
      <xdr:row>34</xdr:row>
      <xdr:rowOff>0</xdr:rowOff>
    </xdr:from>
    <xdr:to>
      <xdr:col>44</xdr:col>
      <xdr:colOff>231322</xdr:colOff>
      <xdr:row>35</xdr:row>
      <xdr:rowOff>149677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1177636</xdr:colOff>
      <xdr:row>0</xdr:row>
      <xdr:rowOff>0</xdr:rowOff>
    </xdr:from>
    <xdr:to>
      <xdr:col>2</xdr:col>
      <xdr:colOff>2036618</xdr:colOff>
      <xdr:row>4</xdr:row>
      <xdr:rowOff>83127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336" y="0"/>
          <a:ext cx="858982" cy="845127"/>
        </a:xfrm>
        <a:prstGeom prst="rect">
          <a:avLst/>
        </a:prstGeom>
      </xdr:spPr>
    </xdr:pic>
    <xdr:clientData/>
  </xdr:twoCellAnchor>
  <xdr:twoCellAnchor>
    <xdr:from>
      <xdr:col>4</xdr:col>
      <xdr:colOff>49866</xdr:colOff>
      <xdr:row>9</xdr:row>
      <xdr:rowOff>156728</xdr:rowOff>
    </xdr:from>
    <xdr:to>
      <xdr:col>20</xdr:col>
      <xdr:colOff>400916</xdr:colOff>
      <xdr:row>35</xdr:row>
      <xdr:rowOff>147356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62754</xdr:colOff>
      <xdr:row>31</xdr:row>
      <xdr:rowOff>152400</xdr:rowOff>
    </xdr:from>
    <xdr:to>
      <xdr:col>7</xdr:col>
      <xdr:colOff>457200</xdr:colOff>
      <xdr:row>35</xdr:row>
      <xdr:rowOff>134471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120414</xdr:rowOff>
    </xdr:from>
    <xdr:ext cx="913020" cy="731639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221950" y="120414"/>
          <a:ext cx="913020" cy="73163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  <xdr:twoCellAnchor>
    <xdr:from>
      <xdr:col>39</xdr:col>
      <xdr:colOff>372834</xdr:colOff>
      <xdr:row>29</xdr:row>
      <xdr:rowOff>0</xdr:rowOff>
    </xdr:from>
    <xdr:to>
      <xdr:col>42</xdr:col>
      <xdr:colOff>231322</xdr:colOff>
      <xdr:row>29</xdr:row>
      <xdr:rowOff>149677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428625</xdr:colOff>
      <xdr:row>0</xdr:row>
      <xdr:rowOff>0</xdr:rowOff>
    </xdr:from>
    <xdr:to>
      <xdr:col>2</xdr:col>
      <xdr:colOff>1587500</xdr:colOff>
      <xdr:row>5</xdr:row>
      <xdr:rowOff>50431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5" y="0"/>
          <a:ext cx="1158875" cy="10029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217715</xdr:colOff>
      <xdr:row>1</xdr:row>
      <xdr:rowOff>43544</xdr:rowOff>
    </xdr:from>
    <xdr:ext cx="614893" cy="492738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58401" y="217715"/>
          <a:ext cx="614893" cy="49273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  <xdr:twoCellAnchor editAs="oneCell">
    <xdr:from>
      <xdr:col>1</xdr:col>
      <xdr:colOff>290720</xdr:colOff>
      <xdr:row>0</xdr:row>
      <xdr:rowOff>135006</xdr:rowOff>
    </xdr:from>
    <xdr:to>
      <xdr:col>1</xdr:col>
      <xdr:colOff>1407531</xdr:colOff>
      <xdr:row>4</xdr:row>
      <xdr:rowOff>8283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C4159-F621-444B-AED7-A59B9B280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970" y="135006"/>
          <a:ext cx="1116811" cy="606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Views>
    <sheetView tabSelected="1" view="pageBreakPreview" topLeftCell="C1" zoomScaleNormal="100" zoomScaleSheetLayoutView="100" zoomScalePageLayoutView="75" workbookViewId="0">
      <selection activeCell="D14" sqref="D14:R15"/>
    </sheetView>
  </sheetViews>
  <sheetFormatPr defaultRowHeight="14.5" x14ac:dyDescent="0.35"/>
  <cols>
    <col min="1" max="1" width="0.7265625" style="1" customWidth="1"/>
    <col min="2" max="3" width="3.7265625" style="1" customWidth="1"/>
    <col min="4" max="4" width="10.1796875" style="1" customWidth="1"/>
    <col min="5" max="5" width="9.7265625" style="1" customWidth="1"/>
    <col min="6" max="6" width="1.81640625" style="1" customWidth="1"/>
    <col min="7" max="7" width="13.54296875" style="1" customWidth="1"/>
    <col min="8" max="8" width="4" style="1" customWidth="1"/>
    <col min="9" max="9" width="12.7265625" style="1" customWidth="1"/>
    <col min="10" max="12" width="7.1796875" style="1" customWidth="1"/>
    <col min="13" max="13" width="7.453125" style="1" customWidth="1"/>
    <col min="14" max="14" width="14.26953125" style="1" customWidth="1"/>
    <col min="15" max="15" width="7" style="1" customWidth="1"/>
    <col min="16" max="16" width="13.7265625" style="1" customWidth="1"/>
    <col min="17" max="17" width="3.54296875" style="1" customWidth="1"/>
    <col min="18" max="18" width="12.7265625" style="1" customWidth="1"/>
    <col min="19" max="20" width="3.7265625" style="1" customWidth="1"/>
    <col min="21" max="21" width="0.7265625" style="1" customWidth="1"/>
    <col min="22" max="22" width="9.1796875" style="1"/>
    <col min="23" max="23" width="9.81640625" style="1" bestFit="1" customWidth="1"/>
    <col min="24" max="256" width="9.1796875" style="1"/>
    <col min="257" max="257" width="0.7265625" style="1" customWidth="1"/>
    <col min="258" max="259" width="3.1796875" style="1" customWidth="1"/>
    <col min="260" max="260" width="10.1796875" style="1" customWidth="1"/>
    <col min="261" max="261" width="9.7265625" style="1" customWidth="1"/>
    <col min="262" max="262" width="1.81640625" style="1" customWidth="1"/>
    <col min="263" max="263" width="9" style="1" customWidth="1"/>
    <col min="264" max="264" width="4" style="1" customWidth="1"/>
    <col min="265" max="265" width="10.1796875" style="1" customWidth="1"/>
    <col min="266" max="268" width="7.1796875" style="1" customWidth="1"/>
    <col min="269" max="269" width="7.453125" style="1" customWidth="1"/>
    <col min="270" max="270" width="14.26953125" style="1" customWidth="1"/>
    <col min="271" max="271" width="1.81640625" style="1" customWidth="1"/>
    <col min="272" max="272" width="8.7265625" style="1" customWidth="1"/>
    <col min="273" max="273" width="3.54296875" style="1" customWidth="1"/>
    <col min="274" max="274" width="9.54296875" style="1" customWidth="1"/>
    <col min="275" max="276" width="3.1796875" style="1" customWidth="1"/>
    <col min="277" max="277" width="0.7265625" style="1" customWidth="1"/>
    <col min="278" max="512" width="9.1796875" style="1"/>
    <col min="513" max="513" width="0.7265625" style="1" customWidth="1"/>
    <col min="514" max="515" width="3.1796875" style="1" customWidth="1"/>
    <col min="516" max="516" width="10.1796875" style="1" customWidth="1"/>
    <col min="517" max="517" width="9.7265625" style="1" customWidth="1"/>
    <col min="518" max="518" width="1.81640625" style="1" customWidth="1"/>
    <col min="519" max="519" width="9" style="1" customWidth="1"/>
    <col min="520" max="520" width="4" style="1" customWidth="1"/>
    <col min="521" max="521" width="10.1796875" style="1" customWidth="1"/>
    <col min="522" max="524" width="7.1796875" style="1" customWidth="1"/>
    <col min="525" max="525" width="7.453125" style="1" customWidth="1"/>
    <col min="526" max="526" width="14.26953125" style="1" customWidth="1"/>
    <col min="527" max="527" width="1.81640625" style="1" customWidth="1"/>
    <col min="528" max="528" width="8.7265625" style="1" customWidth="1"/>
    <col min="529" max="529" width="3.54296875" style="1" customWidth="1"/>
    <col min="530" max="530" width="9.54296875" style="1" customWidth="1"/>
    <col min="531" max="532" width="3.1796875" style="1" customWidth="1"/>
    <col min="533" max="533" width="0.7265625" style="1" customWidth="1"/>
    <col min="534" max="768" width="9.1796875" style="1"/>
    <col min="769" max="769" width="0.7265625" style="1" customWidth="1"/>
    <col min="770" max="771" width="3.1796875" style="1" customWidth="1"/>
    <col min="772" max="772" width="10.1796875" style="1" customWidth="1"/>
    <col min="773" max="773" width="9.7265625" style="1" customWidth="1"/>
    <col min="774" max="774" width="1.81640625" style="1" customWidth="1"/>
    <col min="775" max="775" width="9" style="1" customWidth="1"/>
    <col min="776" max="776" width="4" style="1" customWidth="1"/>
    <col min="777" max="777" width="10.1796875" style="1" customWidth="1"/>
    <col min="778" max="780" width="7.1796875" style="1" customWidth="1"/>
    <col min="781" max="781" width="7.453125" style="1" customWidth="1"/>
    <col min="782" max="782" width="14.26953125" style="1" customWidth="1"/>
    <col min="783" max="783" width="1.81640625" style="1" customWidth="1"/>
    <col min="784" max="784" width="8.7265625" style="1" customWidth="1"/>
    <col min="785" max="785" width="3.54296875" style="1" customWidth="1"/>
    <col min="786" max="786" width="9.54296875" style="1" customWidth="1"/>
    <col min="787" max="788" width="3.1796875" style="1" customWidth="1"/>
    <col min="789" max="789" width="0.7265625" style="1" customWidth="1"/>
    <col min="790" max="1024" width="9.1796875" style="1"/>
    <col min="1025" max="1025" width="0.7265625" style="1" customWidth="1"/>
    <col min="1026" max="1027" width="3.1796875" style="1" customWidth="1"/>
    <col min="1028" max="1028" width="10.1796875" style="1" customWidth="1"/>
    <col min="1029" max="1029" width="9.7265625" style="1" customWidth="1"/>
    <col min="1030" max="1030" width="1.81640625" style="1" customWidth="1"/>
    <col min="1031" max="1031" width="9" style="1" customWidth="1"/>
    <col min="1032" max="1032" width="4" style="1" customWidth="1"/>
    <col min="1033" max="1033" width="10.1796875" style="1" customWidth="1"/>
    <col min="1034" max="1036" width="7.1796875" style="1" customWidth="1"/>
    <col min="1037" max="1037" width="7.453125" style="1" customWidth="1"/>
    <col min="1038" max="1038" width="14.26953125" style="1" customWidth="1"/>
    <col min="1039" max="1039" width="1.81640625" style="1" customWidth="1"/>
    <col min="1040" max="1040" width="8.7265625" style="1" customWidth="1"/>
    <col min="1041" max="1041" width="3.54296875" style="1" customWidth="1"/>
    <col min="1042" max="1042" width="9.54296875" style="1" customWidth="1"/>
    <col min="1043" max="1044" width="3.1796875" style="1" customWidth="1"/>
    <col min="1045" max="1045" width="0.7265625" style="1" customWidth="1"/>
    <col min="1046" max="1280" width="9.1796875" style="1"/>
    <col min="1281" max="1281" width="0.7265625" style="1" customWidth="1"/>
    <col min="1282" max="1283" width="3.1796875" style="1" customWidth="1"/>
    <col min="1284" max="1284" width="10.1796875" style="1" customWidth="1"/>
    <col min="1285" max="1285" width="9.7265625" style="1" customWidth="1"/>
    <col min="1286" max="1286" width="1.81640625" style="1" customWidth="1"/>
    <col min="1287" max="1287" width="9" style="1" customWidth="1"/>
    <col min="1288" max="1288" width="4" style="1" customWidth="1"/>
    <col min="1289" max="1289" width="10.1796875" style="1" customWidth="1"/>
    <col min="1290" max="1292" width="7.1796875" style="1" customWidth="1"/>
    <col min="1293" max="1293" width="7.453125" style="1" customWidth="1"/>
    <col min="1294" max="1294" width="14.26953125" style="1" customWidth="1"/>
    <col min="1295" max="1295" width="1.81640625" style="1" customWidth="1"/>
    <col min="1296" max="1296" width="8.7265625" style="1" customWidth="1"/>
    <col min="1297" max="1297" width="3.54296875" style="1" customWidth="1"/>
    <col min="1298" max="1298" width="9.54296875" style="1" customWidth="1"/>
    <col min="1299" max="1300" width="3.1796875" style="1" customWidth="1"/>
    <col min="1301" max="1301" width="0.7265625" style="1" customWidth="1"/>
    <col min="1302" max="1536" width="9.1796875" style="1"/>
    <col min="1537" max="1537" width="0.7265625" style="1" customWidth="1"/>
    <col min="1538" max="1539" width="3.1796875" style="1" customWidth="1"/>
    <col min="1540" max="1540" width="10.1796875" style="1" customWidth="1"/>
    <col min="1541" max="1541" width="9.7265625" style="1" customWidth="1"/>
    <col min="1542" max="1542" width="1.81640625" style="1" customWidth="1"/>
    <col min="1543" max="1543" width="9" style="1" customWidth="1"/>
    <col min="1544" max="1544" width="4" style="1" customWidth="1"/>
    <col min="1545" max="1545" width="10.1796875" style="1" customWidth="1"/>
    <col min="1546" max="1548" width="7.1796875" style="1" customWidth="1"/>
    <col min="1549" max="1549" width="7.453125" style="1" customWidth="1"/>
    <col min="1550" max="1550" width="14.26953125" style="1" customWidth="1"/>
    <col min="1551" max="1551" width="1.81640625" style="1" customWidth="1"/>
    <col min="1552" max="1552" width="8.7265625" style="1" customWidth="1"/>
    <col min="1553" max="1553" width="3.54296875" style="1" customWidth="1"/>
    <col min="1554" max="1554" width="9.54296875" style="1" customWidth="1"/>
    <col min="1555" max="1556" width="3.1796875" style="1" customWidth="1"/>
    <col min="1557" max="1557" width="0.7265625" style="1" customWidth="1"/>
    <col min="1558" max="1792" width="9.1796875" style="1"/>
    <col min="1793" max="1793" width="0.7265625" style="1" customWidth="1"/>
    <col min="1794" max="1795" width="3.1796875" style="1" customWidth="1"/>
    <col min="1796" max="1796" width="10.1796875" style="1" customWidth="1"/>
    <col min="1797" max="1797" width="9.7265625" style="1" customWidth="1"/>
    <col min="1798" max="1798" width="1.81640625" style="1" customWidth="1"/>
    <col min="1799" max="1799" width="9" style="1" customWidth="1"/>
    <col min="1800" max="1800" width="4" style="1" customWidth="1"/>
    <col min="1801" max="1801" width="10.1796875" style="1" customWidth="1"/>
    <col min="1802" max="1804" width="7.1796875" style="1" customWidth="1"/>
    <col min="1805" max="1805" width="7.453125" style="1" customWidth="1"/>
    <col min="1806" max="1806" width="14.26953125" style="1" customWidth="1"/>
    <col min="1807" max="1807" width="1.81640625" style="1" customWidth="1"/>
    <col min="1808" max="1808" width="8.7265625" style="1" customWidth="1"/>
    <col min="1809" max="1809" width="3.54296875" style="1" customWidth="1"/>
    <col min="1810" max="1810" width="9.54296875" style="1" customWidth="1"/>
    <col min="1811" max="1812" width="3.1796875" style="1" customWidth="1"/>
    <col min="1813" max="1813" width="0.7265625" style="1" customWidth="1"/>
    <col min="1814" max="2048" width="9.1796875" style="1"/>
    <col min="2049" max="2049" width="0.7265625" style="1" customWidth="1"/>
    <col min="2050" max="2051" width="3.1796875" style="1" customWidth="1"/>
    <col min="2052" max="2052" width="10.1796875" style="1" customWidth="1"/>
    <col min="2053" max="2053" width="9.7265625" style="1" customWidth="1"/>
    <col min="2054" max="2054" width="1.81640625" style="1" customWidth="1"/>
    <col min="2055" max="2055" width="9" style="1" customWidth="1"/>
    <col min="2056" max="2056" width="4" style="1" customWidth="1"/>
    <col min="2057" max="2057" width="10.1796875" style="1" customWidth="1"/>
    <col min="2058" max="2060" width="7.1796875" style="1" customWidth="1"/>
    <col min="2061" max="2061" width="7.453125" style="1" customWidth="1"/>
    <col min="2062" max="2062" width="14.26953125" style="1" customWidth="1"/>
    <col min="2063" max="2063" width="1.81640625" style="1" customWidth="1"/>
    <col min="2064" max="2064" width="8.7265625" style="1" customWidth="1"/>
    <col min="2065" max="2065" width="3.54296875" style="1" customWidth="1"/>
    <col min="2066" max="2066" width="9.54296875" style="1" customWidth="1"/>
    <col min="2067" max="2068" width="3.1796875" style="1" customWidth="1"/>
    <col min="2069" max="2069" width="0.7265625" style="1" customWidth="1"/>
    <col min="2070" max="2304" width="9.1796875" style="1"/>
    <col min="2305" max="2305" width="0.7265625" style="1" customWidth="1"/>
    <col min="2306" max="2307" width="3.1796875" style="1" customWidth="1"/>
    <col min="2308" max="2308" width="10.1796875" style="1" customWidth="1"/>
    <col min="2309" max="2309" width="9.7265625" style="1" customWidth="1"/>
    <col min="2310" max="2310" width="1.81640625" style="1" customWidth="1"/>
    <col min="2311" max="2311" width="9" style="1" customWidth="1"/>
    <col min="2312" max="2312" width="4" style="1" customWidth="1"/>
    <col min="2313" max="2313" width="10.1796875" style="1" customWidth="1"/>
    <col min="2314" max="2316" width="7.1796875" style="1" customWidth="1"/>
    <col min="2317" max="2317" width="7.453125" style="1" customWidth="1"/>
    <col min="2318" max="2318" width="14.26953125" style="1" customWidth="1"/>
    <col min="2319" max="2319" width="1.81640625" style="1" customWidth="1"/>
    <col min="2320" max="2320" width="8.7265625" style="1" customWidth="1"/>
    <col min="2321" max="2321" width="3.54296875" style="1" customWidth="1"/>
    <col min="2322" max="2322" width="9.54296875" style="1" customWidth="1"/>
    <col min="2323" max="2324" width="3.1796875" style="1" customWidth="1"/>
    <col min="2325" max="2325" width="0.7265625" style="1" customWidth="1"/>
    <col min="2326" max="2560" width="9.1796875" style="1"/>
    <col min="2561" max="2561" width="0.7265625" style="1" customWidth="1"/>
    <col min="2562" max="2563" width="3.1796875" style="1" customWidth="1"/>
    <col min="2564" max="2564" width="10.1796875" style="1" customWidth="1"/>
    <col min="2565" max="2565" width="9.7265625" style="1" customWidth="1"/>
    <col min="2566" max="2566" width="1.81640625" style="1" customWidth="1"/>
    <col min="2567" max="2567" width="9" style="1" customWidth="1"/>
    <col min="2568" max="2568" width="4" style="1" customWidth="1"/>
    <col min="2569" max="2569" width="10.1796875" style="1" customWidth="1"/>
    <col min="2570" max="2572" width="7.1796875" style="1" customWidth="1"/>
    <col min="2573" max="2573" width="7.453125" style="1" customWidth="1"/>
    <col min="2574" max="2574" width="14.26953125" style="1" customWidth="1"/>
    <col min="2575" max="2575" width="1.81640625" style="1" customWidth="1"/>
    <col min="2576" max="2576" width="8.7265625" style="1" customWidth="1"/>
    <col min="2577" max="2577" width="3.54296875" style="1" customWidth="1"/>
    <col min="2578" max="2578" width="9.54296875" style="1" customWidth="1"/>
    <col min="2579" max="2580" width="3.1796875" style="1" customWidth="1"/>
    <col min="2581" max="2581" width="0.7265625" style="1" customWidth="1"/>
    <col min="2582" max="2816" width="9.1796875" style="1"/>
    <col min="2817" max="2817" width="0.7265625" style="1" customWidth="1"/>
    <col min="2818" max="2819" width="3.1796875" style="1" customWidth="1"/>
    <col min="2820" max="2820" width="10.1796875" style="1" customWidth="1"/>
    <col min="2821" max="2821" width="9.7265625" style="1" customWidth="1"/>
    <col min="2822" max="2822" width="1.81640625" style="1" customWidth="1"/>
    <col min="2823" max="2823" width="9" style="1" customWidth="1"/>
    <col min="2824" max="2824" width="4" style="1" customWidth="1"/>
    <col min="2825" max="2825" width="10.1796875" style="1" customWidth="1"/>
    <col min="2826" max="2828" width="7.1796875" style="1" customWidth="1"/>
    <col min="2829" max="2829" width="7.453125" style="1" customWidth="1"/>
    <col min="2830" max="2830" width="14.26953125" style="1" customWidth="1"/>
    <col min="2831" max="2831" width="1.81640625" style="1" customWidth="1"/>
    <col min="2832" max="2832" width="8.7265625" style="1" customWidth="1"/>
    <col min="2833" max="2833" width="3.54296875" style="1" customWidth="1"/>
    <col min="2834" max="2834" width="9.54296875" style="1" customWidth="1"/>
    <col min="2835" max="2836" width="3.1796875" style="1" customWidth="1"/>
    <col min="2837" max="2837" width="0.7265625" style="1" customWidth="1"/>
    <col min="2838" max="3072" width="9.1796875" style="1"/>
    <col min="3073" max="3073" width="0.7265625" style="1" customWidth="1"/>
    <col min="3074" max="3075" width="3.1796875" style="1" customWidth="1"/>
    <col min="3076" max="3076" width="10.1796875" style="1" customWidth="1"/>
    <col min="3077" max="3077" width="9.7265625" style="1" customWidth="1"/>
    <col min="3078" max="3078" width="1.81640625" style="1" customWidth="1"/>
    <col min="3079" max="3079" width="9" style="1" customWidth="1"/>
    <col min="3080" max="3080" width="4" style="1" customWidth="1"/>
    <col min="3081" max="3081" width="10.1796875" style="1" customWidth="1"/>
    <col min="3082" max="3084" width="7.1796875" style="1" customWidth="1"/>
    <col min="3085" max="3085" width="7.453125" style="1" customWidth="1"/>
    <col min="3086" max="3086" width="14.26953125" style="1" customWidth="1"/>
    <col min="3087" max="3087" width="1.81640625" style="1" customWidth="1"/>
    <col min="3088" max="3088" width="8.7265625" style="1" customWidth="1"/>
    <col min="3089" max="3089" width="3.54296875" style="1" customWidth="1"/>
    <col min="3090" max="3090" width="9.54296875" style="1" customWidth="1"/>
    <col min="3091" max="3092" width="3.1796875" style="1" customWidth="1"/>
    <col min="3093" max="3093" width="0.7265625" style="1" customWidth="1"/>
    <col min="3094" max="3328" width="9.1796875" style="1"/>
    <col min="3329" max="3329" width="0.7265625" style="1" customWidth="1"/>
    <col min="3330" max="3331" width="3.1796875" style="1" customWidth="1"/>
    <col min="3332" max="3332" width="10.1796875" style="1" customWidth="1"/>
    <col min="3333" max="3333" width="9.7265625" style="1" customWidth="1"/>
    <col min="3334" max="3334" width="1.81640625" style="1" customWidth="1"/>
    <col min="3335" max="3335" width="9" style="1" customWidth="1"/>
    <col min="3336" max="3336" width="4" style="1" customWidth="1"/>
    <col min="3337" max="3337" width="10.1796875" style="1" customWidth="1"/>
    <col min="3338" max="3340" width="7.1796875" style="1" customWidth="1"/>
    <col min="3341" max="3341" width="7.453125" style="1" customWidth="1"/>
    <col min="3342" max="3342" width="14.26953125" style="1" customWidth="1"/>
    <col min="3343" max="3343" width="1.81640625" style="1" customWidth="1"/>
    <col min="3344" max="3344" width="8.7265625" style="1" customWidth="1"/>
    <col min="3345" max="3345" width="3.54296875" style="1" customWidth="1"/>
    <col min="3346" max="3346" width="9.54296875" style="1" customWidth="1"/>
    <col min="3347" max="3348" width="3.1796875" style="1" customWidth="1"/>
    <col min="3349" max="3349" width="0.7265625" style="1" customWidth="1"/>
    <col min="3350" max="3584" width="9.1796875" style="1"/>
    <col min="3585" max="3585" width="0.7265625" style="1" customWidth="1"/>
    <col min="3586" max="3587" width="3.1796875" style="1" customWidth="1"/>
    <col min="3588" max="3588" width="10.1796875" style="1" customWidth="1"/>
    <col min="3589" max="3589" width="9.7265625" style="1" customWidth="1"/>
    <col min="3590" max="3590" width="1.81640625" style="1" customWidth="1"/>
    <col min="3591" max="3591" width="9" style="1" customWidth="1"/>
    <col min="3592" max="3592" width="4" style="1" customWidth="1"/>
    <col min="3593" max="3593" width="10.1796875" style="1" customWidth="1"/>
    <col min="3594" max="3596" width="7.1796875" style="1" customWidth="1"/>
    <col min="3597" max="3597" width="7.453125" style="1" customWidth="1"/>
    <col min="3598" max="3598" width="14.26953125" style="1" customWidth="1"/>
    <col min="3599" max="3599" width="1.81640625" style="1" customWidth="1"/>
    <col min="3600" max="3600" width="8.7265625" style="1" customWidth="1"/>
    <col min="3601" max="3601" width="3.54296875" style="1" customWidth="1"/>
    <col min="3602" max="3602" width="9.54296875" style="1" customWidth="1"/>
    <col min="3603" max="3604" width="3.1796875" style="1" customWidth="1"/>
    <col min="3605" max="3605" width="0.7265625" style="1" customWidth="1"/>
    <col min="3606" max="3840" width="9.1796875" style="1"/>
    <col min="3841" max="3841" width="0.7265625" style="1" customWidth="1"/>
    <col min="3842" max="3843" width="3.1796875" style="1" customWidth="1"/>
    <col min="3844" max="3844" width="10.1796875" style="1" customWidth="1"/>
    <col min="3845" max="3845" width="9.7265625" style="1" customWidth="1"/>
    <col min="3846" max="3846" width="1.81640625" style="1" customWidth="1"/>
    <col min="3847" max="3847" width="9" style="1" customWidth="1"/>
    <col min="3848" max="3848" width="4" style="1" customWidth="1"/>
    <col min="3849" max="3849" width="10.1796875" style="1" customWidth="1"/>
    <col min="3850" max="3852" width="7.1796875" style="1" customWidth="1"/>
    <col min="3853" max="3853" width="7.453125" style="1" customWidth="1"/>
    <col min="3854" max="3854" width="14.26953125" style="1" customWidth="1"/>
    <col min="3855" max="3855" width="1.81640625" style="1" customWidth="1"/>
    <col min="3856" max="3856" width="8.7265625" style="1" customWidth="1"/>
    <col min="3857" max="3857" width="3.54296875" style="1" customWidth="1"/>
    <col min="3858" max="3858" width="9.54296875" style="1" customWidth="1"/>
    <col min="3859" max="3860" width="3.1796875" style="1" customWidth="1"/>
    <col min="3861" max="3861" width="0.7265625" style="1" customWidth="1"/>
    <col min="3862" max="4096" width="9.1796875" style="1"/>
    <col min="4097" max="4097" width="0.7265625" style="1" customWidth="1"/>
    <col min="4098" max="4099" width="3.1796875" style="1" customWidth="1"/>
    <col min="4100" max="4100" width="10.1796875" style="1" customWidth="1"/>
    <col min="4101" max="4101" width="9.7265625" style="1" customWidth="1"/>
    <col min="4102" max="4102" width="1.81640625" style="1" customWidth="1"/>
    <col min="4103" max="4103" width="9" style="1" customWidth="1"/>
    <col min="4104" max="4104" width="4" style="1" customWidth="1"/>
    <col min="4105" max="4105" width="10.1796875" style="1" customWidth="1"/>
    <col min="4106" max="4108" width="7.1796875" style="1" customWidth="1"/>
    <col min="4109" max="4109" width="7.453125" style="1" customWidth="1"/>
    <col min="4110" max="4110" width="14.26953125" style="1" customWidth="1"/>
    <col min="4111" max="4111" width="1.81640625" style="1" customWidth="1"/>
    <col min="4112" max="4112" width="8.7265625" style="1" customWidth="1"/>
    <col min="4113" max="4113" width="3.54296875" style="1" customWidth="1"/>
    <col min="4114" max="4114" width="9.54296875" style="1" customWidth="1"/>
    <col min="4115" max="4116" width="3.1796875" style="1" customWidth="1"/>
    <col min="4117" max="4117" width="0.7265625" style="1" customWidth="1"/>
    <col min="4118" max="4352" width="9.1796875" style="1"/>
    <col min="4353" max="4353" width="0.7265625" style="1" customWidth="1"/>
    <col min="4354" max="4355" width="3.1796875" style="1" customWidth="1"/>
    <col min="4356" max="4356" width="10.1796875" style="1" customWidth="1"/>
    <col min="4357" max="4357" width="9.7265625" style="1" customWidth="1"/>
    <col min="4358" max="4358" width="1.81640625" style="1" customWidth="1"/>
    <col min="4359" max="4359" width="9" style="1" customWidth="1"/>
    <col min="4360" max="4360" width="4" style="1" customWidth="1"/>
    <col min="4361" max="4361" width="10.1796875" style="1" customWidth="1"/>
    <col min="4362" max="4364" width="7.1796875" style="1" customWidth="1"/>
    <col min="4365" max="4365" width="7.453125" style="1" customWidth="1"/>
    <col min="4366" max="4366" width="14.26953125" style="1" customWidth="1"/>
    <col min="4367" max="4367" width="1.81640625" style="1" customWidth="1"/>
    <col min="4368" max="4368" width="8.7265625" style="1" customWidth="1"/>
    <col min="4369" max="4369" width="3.54296875" style="1" customWidth="1"/>
    <col min="4370" max="4370" width="9.54296875" style="1" customWidth="1"/>
    <col min="4371" max="4372" width="3.1796875" style="1" customWidth="1"/>
    <col min="4373" max="4373" width="0.7265625" style="1" customWidth="1"/>
    <col min="4374" max="4608" width="9.1796875" style="1"/>
    <col min="4609" max="4609" width="0.7265625" style="1" customWidth="1"/>
    <col min="4610" max="4611" width="3.1796875" style="1" customWidth="1"/>
    <col min="4612" max="4612" width="10.1796875" style="1" customWidth="1"/>
    <col min="4613" max="4613" width="9.7265625" style="1" customWidth="1"/>
    <col min="4614" max="4614" width="1.81640625" style="1" customWidth="1"/>
    <col min="4615" max="4615" width="9" style="1" customWidth="1"/>
    <col min="4616" max="4616" width="4" style="1" customWidth="1"/>
    <col min="4617" max="4617" width="10.1796875" style="1" customWidth="1"/>
    <col min="4618" max="4620" width="7.1796875" style="1" customWidth="1"/>
    <col min="4621" max="4621" width="7.453125" style="1" customWidth="1"/>
    <col min="4622" max="4622" width="14.26953125" style="1" customWidth="1"/>
    <col min="4623" max="4623" width="1.81640625" style="1" customWidth="1"/>
    <col min="4624" max="4624" width="8.7265625" style="1" customWidth="1"/>
    <col min="4625" max="4625" width="3.54296875" style="1" customWidth="1"/>
    <col min="4626" max="4626" width="9.54296875" style="1" customWidth="1"/>
    <col min="4627" max="4628" width="3.1796875" style="1" customWidth="1"/>
    <col min="4629" max="4629" width="0.7265625" style="1" customWidth="1"/>
    <col min="4630" max="4864" width="9.1796875" style="1"/>
    <col min="4865" max="4865" width="0.7265625" style="1" customWidth="1"/>
    <col min="4866" max="4867" width="3.1796875" style="1" customWidth="1"/>
    <col min="4868" max="4868" width="10.1796875" style="1" customWidth="1"/>
    <col min="4869" max="4869" width="9.7265625" style="1" customWidth="1"/>
    <col min="4870" max="4870" width="1.81640625" style="1" customWidth="1"/>
    <col min="4871" max="4871" width="9" style="1" customWidth="1"/>
    <col min="4872" max="4872" width="4" style="1" customWidth="1"/>
    <col min="4873" max="4873" width="10.1796875" style="1" customWidth="1"/>
    <col min="4874" max="4876" width="7.1796875" style="1" customWidth="1"/>
    <col min="4877" max="4877" width="7.453125" style="1" customWidth="1"/>
    <col min="4878" max="4878" width="14.26953125" style="1" customWidth="1"/>
    <col min="4879" max="4879" width="1.81640625" style="1" customWidth="1"/>
    <col min="4880" max="4880" width="8.7265625" style="1" customWidth="1"/>
    <col min="4881" max="4881" width="3.54296875" style="1" customWidth="1"/>
    <col min="4882" max="4882" width="9.54296875" style="1" customWidth="1"/>
    <col min="4883" max="4884" width="3.1796875" style="1" customWidth="1"/>
    <col min="4885" max="4885" width="0.7265625" style="1" customWidth="1"/>
    <col min="4886" max="5120" width="9.1796875" style="1"/>
    <col min="5121" max="5121" width="0.7265625" style="1" customWidth="1"/>
    <col min="5122" max="5123" width="3.1796875" style="1" customWidth="1"/>
    <col min="5124" max="5124" width="10.1796875" style="1" customWidth="1"/>
    <col min="5125" max="5125" width="9.7265625" style="1" customWidth="1"/>
    <col min="5126" max="5126" width="1.81640625" style="1" customWidth="1"/>
    <col min="5127" max="5127" width="9" style="1" customWidth="1"/>
    <col min="5128" max="5128" width="4" style="1" customWidth="1"/>
    <col min="5129" max="5129" width="10.1796875" style="1" customWidth="1"/>
    <col min="5130" max="5132" width="7.1796875" style="1" customWidth="1"/>
    <col min="5133" max="5133" width="7.453125" style="1" customWidth="1"/>
    <col min="5134" max="5134" width="14.26953125" style="1" customWidth="1"/>
    <col min="5135" max="5135" width="1.81640625" style="1" customWidth="1"/>
    <col min="5136" max="5136" width="8.7265625" style="1" customWidth="1"/>
    <col min="5137" max="5137" width="3.54296875" style="1" customWidth="1"/>
    <col min="5138" max="5138" width="9.54296875" style="1" customWidth="1"/>
    <col min="5139" max="5140" width="3.1796875" style="1" customWidth="1"/>
    <col min="5141" max="5141" width="0.7265625" style="1" customWidth="1"/>
    <col min="5142" max="5376" width="9.1796875" style="1"/>
    <col min="5377" max="5377" width="0.7265625" style="1" customWidth="1"/>
    <col min="5378" max="5379" width="3.1796875" style="1" customWidth="1"/>
    <col min="5380" max="5380" width="10.1796875" style="1" customWidth="1"/>
    <col min="5381" max="5381" width="9.7265625" style="1" customWidth="1"/>
    <col min="5382" max="5382" width="1.81640625" style="1" customWidth="1"/>
    <col min="5383" max="5383" width="9" style="1" customWidth="1"/>
    <col min="5384" max="5384" width="4" style="1" customWidth="1"/>
    <col min="5385" max="5385" width="10.1796875" style="1" customWidth="1"/>
    <col min="5386" max="5388" width="7.1796875" style="1" customWidth="1"/>
    <col min="5389" max="5389" width="7.453125" style="1" customWidth="1"/>
    <col min="5390" max="5390" width="14.26953125" style="1" customWidth="1"/>
    <col min="5391" max="5391" width="1.81640625" style="1" customWidth="1"/>
    <col min="5392" max="5392" width="8.7265625" style="1" customWidth="1"/>
    <col min="5393" max="5393" width="3.54296875" style="1" customWidth="1"/>
    <col min="5394" max="5394" width="9.54296875" style="1" customWidth="1"/>
    <col min="5395" max="5396" width="3.1796875" style="1" customWidth="1"/>
    <col min="5397" max="5397" width="0.7265625" style="1" customWidth="1"/>
    <col min="5398" max="5632" width="9.1796875" style="1"/>
    <col min="5633" max="5633" width="0.7265625" style="1" customWidth="1"/>
    <col min="5634" max="5635" width="3.1796875" style="1" customWidth="1"/>
    <col min="5636" max="5636" width="10.1796875" style="1" customWidth="1"/>
    <col min="5637" max="5637" width="9.7265625" style="1" customWidth="1"/>
    <col min="5638" max="5638" width="1.81640625" style="1" customWidth="1"/>
    <col min="5639" max="5639" width="9" style="1" customWidth="1"/>
    <col min="5640" max="5640" width="4" style="1" customWidth="1"/>
    <col min="5641" max="5641" width="10.1796875" style="1" customWidth="1"/>
    <col min="5642" max="5644" width="7.1796875" style="1" customWidth="1"/>
    <col min="5645" max="5645" width="7.453125" style="1" customWidth="1"/>
    <col min="5646" max="5646" width="14.26953125" style="1" customWidth="1"/>
    <col min="5647" max="5647" width="1.81640625" style="1" customWidth="1"/>
    <col min="5648" max="5648" width="8.7265625" style="1" customWidth="1"/>
    <col min="5649" max="5649" width="3.54296875" style="1" customWidth="1"/>
    <col min="5650" max="5650" width="9.54296875" style="1" customWidth="1"/>
    <col min="5651" max="5652" width="3.1796875" style="1" customWidth="1"/>
    <col min="5653" max="5653" width="0.7265625" style="1" customWidth="1"/>
    <col min="5654" max="5888" width="9.1796875" style="1"/>
    <col min="5889" max="5889" width="0.7265625" style="1" customWidth="1"/>
    <col min="5890" max="5891" width="3.1796875" style="1" customWidth="1"/>
    <col min="5892" max="5892" width="10.1796875" style="1" customWidth="1"/>
    <col min="5893" max="5893" width="9.7265625" style="1" customWidth="1"/>
    <col min="5894" max="5894" width="1.81640625" style="1" customWidth="1"/>
    <col min="5895" max="5895" width="9" style="1" customWidth="1"/>
    <col min="5896" max="5896" width="4" style="1" customWidth="1"/>
    <col min="5897" max="5897" width="10.1796875" style="1" customWidth="1"/>
    <col min="5898" max="5900" width="7.1796875" style="1" customWidth="1"/>
    <col min="5901" max="5901" width="7.453125" style="1" customWidth="1"/>
    <col min="5902" max="5902" width="14.26953125" style="1" customWidth="1"/>
    <col min="5903" max="5903" width="1.81640625" style="1" customWidth="1"/>
    <col min="5904" max="5904" width="8.7265625" style="1" customWidth="1"/>
    <col min="5905" max="5905" width="3.54296875" style="1" customWidth="1"/>
    <col min="5906" max="5906" width="9.54296875" style="1" customWidth="1"/>
    <col min="5907" max="5908" width="3.1796875" style="1" customWidth="1"/>
    <col min="5909" max="5909" width="0.7265625" style="1" customWidth="1"/>
    <col min="5910" max="6144" width="9.1796875" style="1"/>
    <col min="6145" max="6145" width="0.7265625" style="1" customWidth="1"/>
    <col min="6146" max="6147" width="3.1796875" style="1" customWidth="1"/>
    <col min="6148" max="6148" width="10.1796875" style="1" customWidth="1"/>
    <col min="6149" max="6149" width="9.7265625" style="1" customWidth="1"/>
    <col min="6150" max="6150" width="1.81640625" style="1" customWidth="1"/>
    <col min="6151" max="6151" width="9" style="1" customWidth="1"/>
    <col min="6152" max="6152" width="4" style="1" customWidth="1"/>
    <col min="6153" max="6153" width="10.1796875" style="1" customWidth="1"/>
    <col min="6154" max="6156" width="7.1796875" style="1" customWidth="1"/>
    <col min="6157" max="6157" width="7.453125" style="1" customWidth="1"/>
    <col min="6158" max="6158" width="14.26953125" style="1" customWidth="1"/>
    <col min="6159" max="6159" width="1.81640625" style="1" customWidth="1"/>
    <col min="6160" max="6160" width="8.7265625" style="1" customWidth="1"/>
    <col min="6161" max="6161" width="3.54296875" style="1" customWidth="1"/>
    <col min="6162" max="6162" width="9.54296875" style="1" customWidth="1"/>
    <col min="6163" max="6164" width="3.1796875" style="1" customWidth="1"/>
    <col min="6165" max="6165" width="0.7265625" style="1" customWidth="1"/>
    <col min="6166" max="6400" width="9.1796875" style="1"/>
    <col min="6401" max="6401" width="0.7265625" style="1" customWidth="1"/>
    <col min="6402" max="6403" width="3.1796875" style="1" customWidth="1"/>
    <col min="6404" max="6404" width="10.1796875" style="1" customWidth="1"/>
    <col min="6405" max="6405" width="9.7265625" style="1" customWidth="1"/>
    <col min="6406" max="6406" width="1.81640625" style="1" customWidth="1"/>
    <col min="6407" max="6407" width="9" style="1" customWidth="1"/>
    <col min="6408" max="6408" width="4" style="1" customWidth="1"/>
    <col min="6409" max="6409" width="10.1796875" style="1" customWidth="1"/>
    <col min="6410" max="6412" width="7.1796875" style="1" customWidth="1"/>
    <col min="6413" max="6413" width="7.453125" style="1" customWidth="1"/>
    <col min="6414" max="6414" width="14.26953125" style="1" customWidth="1"/>
    <col min="6415" max="6415" width="1.81640625" style="1" customWidth="1"/>
    <col min="6416" max="6416" width="8.7265625" style="1" customWidth="1"/>
    <col min="6417" max="6417" width="3.54296875" style="1" customWidth="1"/>
    <col min="6418" max="6418" width="9.54296875" style="1" customWidth="1"/>
    <col min="6419" max="6420" width="3.1796875" style="1" customWidth="1"/>
    <col min="6421" max="6421" width="0.7265625" style="1" customWidth="1"/>
    <col min="6422" max="6656" width="9.1796875" style="1"/>
    <col min="6657" max="6657" width="0.7265625" style="1" customWidth="1"/>
    <col min="6658" max="6659" width="3.1796875" style="1" customWidth="1"/>
    <col min="6660" max="6660" width="10.1796875" style="1" customWidth="1"/>
    <col min="6661" max="6661" width="9.7265625" style="1" customWidth="1"/>
    <col min="6662" max="6662" width="1.81640625" style="1" customWidth="1"/>
    <col min="6663" max="6663" width="9" style="1" customWidth="1"/>
    <col min="6664" max="6664" width="4" style="1" customWidth="1"/>
    <col min="6665" max="6665" width="10.1796875" style="1" customWidth="1"/>
    <col min="6666" max="6668" width="7.1796875" style="1" customWidth="1"/>
    <col min="6669" max="6669" width="7.453125" style="1" customWidth="1"/>
    <col min="6670" max="6670" width="14.26953125" style="1" customWidth="1"/>
    <col min="6671" max="6671" width="1.81640625" style="1" customWidth="1"/>
    <col min="6672" max="6672" width="8.7265625" style="1" customWidth="1"/>
    <col min="6673" max="6673" width="3.54296875" style="1" customWidth="1"/>
    <col min="6674" max="6674" width="9.54296875" style="1" customWidth="1"/>
    <col min="6675" max="6676" width="3.1796875" style="1" customWidth="1"/>
    <col min="6677" max="6677" width="0.7265625" style="1" customWidth="1"/>
    <col min="6678" max="6912" width="9.1796875" style="1"/>
    <col min="6913" max="6913" width="0.7265625" style="1" customWidth="1"/>
    <col min="6914" max="6915" width="3.1796875" style="1" customWidth="1"/>
    <col min="6916" max="6916" width="10.1796875" style="1" customWidth="1"/>
    <col min="6917" max="6917" width="9.7265625" style="1" customWidth="1"/>
    <col min="6918" max="6918" width="1.81640625" style="1" customWidth="1"/>
    <col min="6919" max="6919" width="9" style="1" customWidth="1"/>
    <col min="6920" max="6920" width="4" style="1" customWidth="1"/>
    <col min="6921" max="6921" width="10.1796875" style="1" customWidth="1"/>
    <col min="6922" max="6924" width="7.1796875" style="1" customWidth="1"/>
    <col min="6925" max="6925" width="7.453125" style="1" customWidth="1"/>
    <col min="6926" max="6926" width="14.26953125" style="1" customWidth="1"/>
    <col min="6927" max="6927" width="1.81640625" style="1" customWidth="1"/>
    <col min="6928" max="6928" width="8.7265625" style="1" customWidth="1"/>
    <col min="6929" max="6929" width="3.54296875" style="1" customWidth="1"/>
    <col min="6930" max="6930" width="9.54296875" style="1" customWidth="1"/>
    <col min="6931" max="6932" width="3.1796875" style="1" customWidth="1"/>
    <col min="6933" max="6933" width="0.7265625" style="1" customWidth="1"/>
    <col min="6934" max="7168" width="9.1796875" style="1"/>
    <col min="7169" max="7169" width="0.7265625" style="1" customWidth="1"/>
    <col min="7170" max="7171" width="3.1796875" style="1" customWidth="1"/>
    <col min="7172" max="7172" width="10.1796875" style="1" customWidth="1"/>
    <col min="7173" max="7173" width="9.7265625" style="1" customWidth="1"/>
    <col min="7174" max="7174" width="1.81640625" style="1" customWidth="1"/>
    <col min="7175" max="7175" width="9" style="1" customWidth="1"/>
    <col min="7176" max="7176" width="4" style="1" customWidth="1"/>
    <col min="7177" max="7177" width="10.1796875" style="1" customWidth="1"/>
    <col min="7178" max="7180" width="7.1796875" style="1" customWidth="1"/>
    <col min="7181" max="7181" width="7.453125" style="1" customWidth="1"/>
    <col min="7182" max="7182" width="14.26953125" style="1" customWidth="1"/>
    <col min="7183" max="7183" width="1.81640625" style="1" customWidth="1"/>
    <col min="7184" max="7184" width="8.7265625" style="1" customWidth="1"/>
    <col min="7185" max="7185" width="3.54296875" style="1" customWidth="1"/>
    <col min="7186" max="7186" width="9.54296875" style="1" customWidth="1"/>
    <col min="7187" max="7188" width="3.1796875" style="1" customWidth="1"/>
    <col min="7189" max="7189" width="0.7265625" style="1" customWidth="1"/>
    <col min="7190" max="7424" width="9.1796875" style="1"/>
    <col min="7425" max="7425" width="0.7265625" style="1" customWidth="1"/>
    <col min="7426" max="7427" width="3.1796875" style="1" customWidth="1"/>
    <col min="7428" max="7428" width="10.1796875" style="1" customWidth="1"/>
    <col min="7429" max="7429" width="9.7265625" style="1" customWidth="1"/>
    <col min="7430" max="7430" width="1.81640625" style="1" customWidth="1"/>
    <col min="7431" max="7431" width="9" style="1" customWidth="1"/>
    <col min="7432" max="7432" width="4" style="1" customWidth="1"/>
    <col min="7433" max="7433" width="10.1796875" style="1" customWidth="1"/>
    <col min="7434" max="7436" width="7.1796875" style="1" customWidth="1"/>
    <col min="7437" max="7437" width="7.453125" style="1" customWidth="1"/>
    <col min="7438" max="7438" width="14.26953125" style="1" customWidth="1"/>
    <col min="7439" max="7439" width="1.81640625" style="1" customWidth="1"/>
    <col min="7440" max="7440" width="8.7265625" style="1" customWidth="1"/>
    <col min="7441" max="7441" width="3.54296875" style="1" customWidth="1"/>
    <col min="7442" max="7442" width="9.54296875" style="1" customWidth="1"/>
    <col min="7443" max="7444" width="3.1796875" style="1" customWidth="1"/>
    <col min="7445" max="7445" width="0.7265625" style="1" customWidth="1"/>
    <col min="7446" max="7680" width="9.1796875" style="1"/>
    <col min="7681" max="7681" width="0.7265625" style="1" customWidth="1"/>
    <col min="7682" max="7683" width="3.1796875" style="1" customWidth="1"/>
    <col min="7684" max="7684" width="10.1796875" style="1" customWidth="1"/>
    <col min="7685" max="7685" width="9.7265625" style="1" customWidth="1"/>
    <col min="7686" max="7686" width="1.81640625" style="1" customWidth="1"/>
    <col min="7687" max="7687" width="9" style="1" customWidth="1"/>
    <col min="7688" max="7688" width="4" style="1" customWidth="1"/>
    <col min="7689" max="7689" width="10.1796875" style="1" customWidth="1"/>
    <col min="7690" max="7692" width="7.1796875" style="1" customWidth="1"/>
    <col min="7693" max="7693" width="7.453125" style="1" customWidth="1"/>
    <col min="7694" max="7694" width="14.26953125" style="1" customWidth="1"/>
    <col min="7695" max="7695" width="1.81640625" style="1" customWidth="1"/>
    <col min="7696" max="7696" width="8.7265625" style="1" customWidth="1"/>
    <col min="7697" max="7697" width="3.54296875" style="1" customWidth="1"/>
    <col min="7698" max="7698" width="9.54296875" style="1" customWidth="1"/>
    <col min="7699" max="7700" width="3.1796875" style="1" customWidth="1"/>
    <col min="7701" max="7701" width="0.7265625" style="1" customWidth="1"/>
    <col min="7702" max="7936" width="9.1796875" style="1"/>
    <col min="7937" max="7937" width="0.7265625" style="1" customWidth="1"/>
    <col min="7938" max="7939" width="3.1796875" style="1" customWidth="1"/>
    <col min="7940" max="7940" width="10.1796875" style="1" customWidth="1"/>
    <col min="7941" max="7941" width="9.7265625" style="1" customWidth="1"/>
    <col min="7942" max="7942" width="1.81640625" style="1" customWidth="1"/>
    <col min="7943" max="7943" width="9" style="1" customWidth="1"/>
    <col min="7944" max="7944" width="4" style="1" customWidth="1"/>
    <col min="7945" max="7945" width="10.1796875" style="1" customWidth="1"/>
    <col min="7946" max="7948" width="7.1796875" style="1" customWidth="1"/>
    <col min="7949" max="7949" width="7.453125" style="1" customWidth="1"/>
    <col min="7950" max="7950" width="14.26953125" style="1" customWidth="1"/>
    <col min="7951" max="7951" width="1.81640625" style="1" customWidth="1"/>
    <col min="7952" max="7952" width="8.7265625" style="1" customWidth="1"/>
    <col min="7953" max="7953" width="3.54296875" style="1" customWidth="1"/>
    <col min="7954" max="7954" width="9.54296875" style="1" customWidth="1"/>
    <col min="7955" max="7956" width="3.1796875" style="1" customWidth="1"/>
    <col min="7957" max="7957" width="0.7265625" style="1" customWidth="1"/>
    <col min="7958" max="8192" width="9.1796875" style="1"/>
    <col min="8193" max="8193" width="0.7265625" style="1" customWidth="1"/>
    <col min="8194" max="8195" width="3.1796875" style="1" customWidth="1"/>
    <col min="8196" max="8196" width="10.1796875" style="1" customWidth="1"/>
    <col min="8197" max="8197" width="9.7265625" style="1" customWidth="1"/>
    <col min="8198" max="8198" width="1.81640625" style="1" customWidth="1"/>
    <col min="8199" max="8199" width="9" style="1" customWidth="1"/>
    <col min="8200" max="8200" width="4" style="1" customWidth="1"/>
    <col min="8201" max="8201" width="10.1796875" style="1" customWidth="1"/>
    <col min="8202" max="8204" width="7.1796875" style="1" customWidth="1"/>
    <col min="8205" max="8205" width="7.453125" style="1" customWidth="1"/>
    <col min="8206" max="8206" width="14.26953125" style="1" customWidth="1"/>
    <col min="8207" max="8207" width="1.81640625" style="1" customWidth="1"/>
    <col min="8208" max="8208" width="8.7265625" style="1" customWidth="1"/>
    <col min="8209" max="8209" width="3.54296875" style="1" customWidth="1"/>
    <col min="8210" max="8210" width="9.54296875" style="1" customWidth="1"/>
    <col min="8211" max="8212" width="3.1796875" style="1" customWidth="1"/>
    <col min="8213" max="8213" width="0.7265625" style="1" customWidth="1"/>
    <col min="8214" max="8448" width="9.1796875" style="1"/>
    <col min="8449" max="8449" width="0.7265625" style="1" customWidth="1"/>
    <col min="8450" max="8451" width="3.1796875" style="1" customWidth="1"/>
    <col min="8452" max="8452" width="10.1796875" style="1" customWidth="1"/>
    <col min="8453" max="8453" width="9.7265625" style="1" customWidth="1"/>
    <col min="8454" max="8454" width="1.81640625" style="1" customWidth="1"/>
    <col min="8455" max="8455" width="9" style="1" customWidth="1"/>
    <col min="8456" max="8456" width="4" style="1" customWidth="1"/>
    <col min="8457" max="8457" width="10.1796875" style="1" customWidth="1"/>
    <col min="8458" max="8460" width="7.1796875" style="1" customWidth="1"/>
    <col min="8461" max="8461" width="7.453125" style="1" customWidth="1"/>
    <col min="8462" max="8462" width="14.26953125" style="1" customWidth="1"/>
    <col min="8463" max="8463" width="1.81640625" style="1" customWidth="1"/>
    <col min="8464" max="8464" width="8.7265625" style="1" customWidth="1"/>
    <col min="8465" max="8465" width="3.54296875" style="1" customWidth="1"/>
    <col min="8466" max="8466" width="9.54296875" style="1" customWidth="1"/>
    <col min="8467" max="8468" width="3.1796875" style="1" customWidth="1"/>
    <col min="8469" max="8469" width="0.7265625" style="1" customWidth="1"/>
    <col min="8470" max="8704" width="9.1796875" style="1"/>
    <col min="8705" max="8705" width="0.7265625" style="1" customWidth="1"/>
    <col min="8706" max="8707" width="3.1796875" style="1" customWidth="1"/>
    <col min="8708" max="8708" width="10.1796875" style="1" customWidth="1"/>
    <col min="8709" max="8709" width="9.7265625" style="1" customWidth="1"/>
    <col min="8710" max="8710" width="1.81640625" style="1" customWidth="1"/>
    <col min="8711" max="8711" width="9" style="1" customWidth="1"/>
    <col min="8712" max="8712" width="4" style="1" customWidth="1"/>
    <col min="8713" max="8713" width="10.1796875" style="1" customWidth="1"/>
    <col min="8714" max="8716" width="7.1796875" style="1" customWidth="1"/>
    <col min="8717" max="8717" width="7.453125" style="1" customWidth="1"/>
    <col min="8718" max="8718" width="14.26953125" style="1" customWidth="1"/>
    <col min="8719" max="8719" width="1.81640625" style="1" customWidth="1"/>
    <col min="8720" max="8720" width="8.7265625" style="1" customWidth="1"/>
    <col min="8721" max="8721" width="3.54296875" style="1" customWidth="1"/>
    <col min="8722" max="8722" width="9.54296875" style="1" customWidth="1"/>
    <col min="8723" max="8724" width="3.1796875" style="1" customWidth="1"/>
    <col min="8725" max="8725" width="0.7265625" style="1" customWidth="1"/>
    <col min="8726" max="8960" width="9.1796875" style="1"/>
    <col min="8961" max="8961" width="0.7265625" style="1" customWidth="1"/>
    <col min="8962" max="8963" width="3.1796875" style="1" customWidth="1"/>
    <col min="8964" max="8964" width="10.1796875" style="1" customWidth="1"/>
    <col min="8965" max="8965" width="9.7265625" style="1" customWidth="1"/>
    <col min="8966" max="8966" width="1.81640625" style="1" customWidth="1"/>
    <col min="8967" max="8967" width="9" style="1" customWidth="1"/>
    <col min="8968" max="8968" width="4" style="1" customWidth="1"/>
    <col min="8969" max="8969" width="10.1796875" style="1" customWidth="1"/>
    <col min="8970" max="8972" width="7.1796875" style="1" customWidth="1"/>
    <col min="8973" max="8973" width="7.453125" style="1" customWidth="1"/>
    <col min="8974" max="8974" width="14.26953125" style="1" customWidth="1"/>
    <col min="8975" max="8975" width="1.81640625" style="1" customWidth="1"/>
    <col min="8976" max="8976" width="8.7265625" style="1" customWidth="1"/>
    <col min="8977" max="8977" width="3.54296875" style="1" customWidth="1"/>
    <col min="8978" max="8978" width="9.54296875" style="1" customWidth="1"/>
    <col min="8979" max="8980" width="3.1796875" style="1" customWidth="1"/>
    <col min="8981" max="8981" width="0.7265625" style="1" customWidth="1"/>
    <col min="8982" max="9216" width="9.1796875" style="1"/>
    <col min="9217" max="9217" width="0.7265625" style="1" customWidth="1"/>
    <col min="9218" max="9219" width="3.1796875" style="1" customWidth="1"/>
    <col min="9220" max="9220" width="10.1796875" style="1" customWidth="1"/>
    <col min="9221" max="9221" width="9.7265625" style="1" customWidth="1"/>
    <col min="9222" max="9222" width="1.81640625" style="1" customWidth="1"/>
    <col min="9223" max="9223" width="9" style="1" customWidth="1"/>
    <col min="9224" max="9224" width="4" style="1" customWidth="1"/>
    <col min="9225" max="9225" width="10.1796875" style="1" customWidth="1"/>
    <col min="9226" max="9228" width="7.1796875" style="1" customWidth="1"/>
    <col min="9229" max="9229" width="7.453125" style="1" customWidth="1"/>
    <col min="9230" max="9230" width="14.26953125" style="1" customWidth="1"/>
    <col min="9231" max="9231" width="1.81640625" style="1" customWidth="1"/>
    <col min="9232" max="9232" width="8.7265625" style="1" customWidth="1"/>
    <col min="9233" max="9233" width="3.54296875" style="1" customWidth="1"/>
    <col min="9234" max="9234" width="9.54296875" style="1" customWidth="1"/>
    <col min="9235" max="9236" width="3.1796875" style="1" customWidth="1"/>
    <col min="9237" max="9237" width="0.7265625" style="1" customWidth="1"/>
    <col min="9238" max="9472" width="9.1796875" style="1"/>
    <col min="9473" max="9473" width="0.7265625" style="1" customWidth="1"/>
    <col min="9474" max="9475" width="3.1796875" style="1" customWidth="1"/>
    <col min="9476" max="9476" width="10.1796875" style="1" customWidth="1"/>
    <col min="9477" max="9477" width="9.7265625" style="1" customWidth="1"/>
    <col min="9478" max="9478" width="1.81640625" style="1" customWidth="1"/>
    <col min="9479" max="9479" width="9" style="1" customWidth="1"/>
    <col min="9480" max="9480" width="4" style="1" customWidth="1"/>
    <col min="9481" max="9481" width="10.1796875" style="1" customWidth="1"/>
    <col min="9482" max="9484" width="7.1796875" style="1" customWidth="1"/>
    <col min="9485" max="9485" width="7.453125" style="1" customWidth="1"/>
    <col min="9486" max="9486" width="14.26953125" style="1" customWidth="1"/>
    <col min="9487" max="9487" width="1.81640625" style="1" customWidth="1"/>
    <col min="9488" max="9488" width="8.7265625" style="1" customWidth="1"/>
    <col min="9489" max="9489" width="3.54296875" style="1" customWidth="1"/>
    <col min="9490" max="9490" width="9.54296875" style="1" customWidth="1"/>
    <col min="9491" max="9492" width="3.1796875" style="1" customWidth="1"/>
    <col min="9493" max="9493" width="0.7265625" style="1" customWidth="1"/>
    <col min="9494" max="9728" width="9.1796875" style="1"/>
    <col min="9729" max="9729" width="0.7265625" style="1" customWidth="1"/>
    <col min="9730" max="9731" width="3.1796875" style="1" customWidth="1"/>
    <col min="9732" max="9732" width="10.1796875" style="1" customWidth="1"/>
    <col min="9733" max="9733" width="9.7265625" style="1" customWidth="1"/>
    <col min="9734" max="9734" width="1.81640625" style="1" customWidth="1"/>
    <col min="9735" max="9735" width="9" style="1" customWidth="1"/>
    <col min="9736" max="9736" width="4" style="1" customWidth="1"/>
    <col min="9737" max="9737" width="10.1796875" style="1" customWidth="1"/>
    <col min="9738" max="9740" width="7.1796875" style="1" customWidth="1"/>
    <col min="9741" max="9741" width="7.453125" style="1" customWidth="1"/>
    <col min="9742" max="9742" width="14.26953125" style="1" customWidth="1"/>
    <col min="9743" max="9743" width="1.81640625" style="1" customWidth="1"/>
    <col min="9744" max="9744" width="8.7265625" style="1" customWidth="1"/>
    <col min="9745" max="9745" width="3.54296875" style="1" customWidth="1"/>
    <col min="9746" max="9746" width="9.54296875" style="1" customWidth="1"/>
    <col min="9747" max="9748" width="3.1796875" style="1" customWidth="1"/>
    <col min="9749" max="9749" width="0.7265625" style="1" customWidth="1"/>
    <col min="9750" max="9984" width="9.1796875" style="1"/>
    <col min="9985" max="9985" width="0.7265625" style="1" customWidth="1"/>
    <col min="9986" max="9987" width="3.1796875" style="1" customWidth="1"/>
    <col min="9988" max="9988" width="10.1796875" style="1" customWidth="1"/>
    <col min="9989" max="9989" width="9.7265625" style="1" customWidth="1"/>
    <col min="9990" max="9990" width="1.81640625" style="1" customWidth="1"/>
    <col min="9991" max="9991" width="9" style="1" customWidth="1"/>
    <col min="9992" max="9992" width="4" style="1" customWidth="1"/>
    <col min="9993" max="9993" width="10.1796875" style="1" customWidth="1"/>
    <col min="9994" max="9996" width="7.1796875" style="1" customWidth="1"/>
    <col min="9997" max="9997" width="7.453125" style="1" customWidth="1"/>
    <col min="9998" max="9998" width="14.26953125" style="1" customWidth="1"/>
    <col min="9999" max="9999" width="1.81640625" style="1" customWidth="1"/>
    <col min="10000" max="10000" width="8.7265625" style="1" customWidth="1"/>
    <col min="10001" max="10001" width="3.54296875" style="1" customWidth="1"/>
    <col min="10002" max="10002" width="9.54296875" style="1" customWidth="1"/>
    <col min="10003" max="10004" width="3.1796875" style="1" customWidth="1"/>
    <col min="10005" max="10005" width="0.7265625" style="1" customWidth="1"/>
    <col min="10006" max="10240" width="9.1796875" style="1"/>
    <col min="10241" max="10241" width="0.7265625" style="1" customWidth="1"/>
    <col min="10242" max="10243" width="3.1796875" style="1" customWidth="1"/>
    <col min="10244" max="10244" width="10.1796875" style="1" customWidth="1"/>
    <col min="10245" max="10245" width="9.7265625" style="1" customWidth="1"/>
    <col min="10246" max="10246" width="1.81640625" style="1" customWidth="1"/>
    <col min="10247" max="10247" width="9" style="1" customWidth="1"/>
    <col min="10248" max="10248" width="4" style="1" customWidth="1"/>
    <col min="10249" max="10249" width="10.1796875" style="1" customWidth="1"/>
    <col min="10250" max="10252" width="7.1796875" style="1" customWidth="1"/>
    <col min="10253" max="10253" width="7.453125" style="1" customWidth="1"/>
    <col min="10254" max="10254" width="14.26953125" style="1" customWidth="1"/>
    <col min="10255" max="10255" width="1.81640625" style="1" customWidth="1"/>
    <col min="10256" max="10256" width="8.7265625" style="1" customWidth="1"/>
    <col min="10257" max="10257" width="3.54296875" style="1" customWidth="1"/>
    <col min="10258" max="10258" width="9.54296875" style="1" customWidth="1"/>
    <col min="10259" max="10260" width="3.1796875" style="1" customWidth="1"/>
    <col min="10261" max="10261" width="0.7265625" style="1" customWidth="1"/>
    <col min="10262" max="10496" width="9.1796875" style="1"/>
    <col min="10497" max="10497" width="0.7265625" style="1" customWidth="1"/>
    <col min="10498" max="10499" width="3.1796875" style="1" customWidth="1"/>
    <col min="10500" max="10500" width="10.1796875" style="1" customWidth="1"/>
    <col min="10501" max="10501" width="9.7265625" style="1" customWidth="1"/>
    <col min="10502" max="10502" width="1.81640625" style="1" customWidth="1"/>
    <col min="10503" max="10503" width="9" style="1" customWidth="1"/>
    <col min="10504" max="10504" width="4" style="1" customWidth="1"/>
    <col min="10505" max="10505" width="10.1796875" style="1" customWidth="1"/>
    <col min="10506" max="10508" width="7.1796875" style="1" customWidth="1"/>
    <col min="10509" max="10509" width="7.453125" style="1" customWidth="1"/>
    <col min="10510" max="10510" width="14.26953125" style="1" customWidth="1"/>
    <col min="10511" max="10511" width="1.81640625" style="1" customWidth="1"/>
    <col min="10512" max="10512" width="8.7265625" style="1" customWidth="1"/>
    <col min="10513" max="10513" width="3.54296875" style="1" customWidth="1"/>
    <col min="10514" max="10514" width="9.54296875" style="1" customWidth="1"/>
    <col min="10515" max="10516" width="3.1796875" style="1" customWidth="1"/>
    <col min="10517" max="10517" width="0.7265625" style="1" customWidth="1"/>
    <col min="10518" max="10752" width="9.1796875" style="1"/>
    <col min="10753" max="10753" width="0.7265625" style="1" customWidth="1"/>
    <col min="10754" max="10755" width="3.1796875" style="1" customWidth="1"/>
    <col min="10756" max="10756" width="10.1796875" style="1" customWidth="1"/>
    <col min="10757" max="10757" width="9.7265625" style="1" customWidth="1"/>
    <col min="10758" max="10758" width="1.81640625" style="1" customWidth="1"/>
    <col min="10759" max="10759" width="9" style="1" customWidth="1"/>
    <col min="10760" max="10760" width="4" style="1" customWidth="1"/>
    <col min="10761" max="10761" width="10.1796875" style="1" customWidth="1"/>
    <col min="10762" max="10764" width="7.1796875" style="1" customWidth="1"/>
    <col min="10765" max="10765" width="7.453125" style="1" customWidth="1"/>
    <col min="10766" max="10766" width="14.26953125" style="1" customWidth="1"/>
    <col min="10767" max="10767" width="1.81640625" style="1" customWidth="1"/>
    <col min="10768" max="10768" width="8.7265625" style="1" customWidth="1"/>
    <col min="10769" max="10769" width="3.54296875" style="1" customWidth="1"/>
    <col min="10770" max="10770" width="9.54296875" style="1" customWidth="1"/>
    <col min="10771" max="10772" width="3.1796875" style="1" customWidth="1"/>
    <col min="10773" max="10773" width="0.7265625" style="1" customWidth="1"/>
    <col min="10774" max="11008" width="9.1796875" style="1"/>
    <col min="11009" max="11009" width="0.7265625" style="1" customWidth="1"/>
    <col min="11010" max="11011" width="3.1796875" style="1" customWidth="1"/>
    <col min="11012" max="11012" width="10.1796875" style="1" customWidth="1"/>
    <col min="11013" max="11013" width="9.7265625" style="1" customWidth="1"/>
    <col min="11014" max="11014" width="1.81640625" style="1" customWidth="1"/>
    <col min="11015" max="11015" width="9" style="1" customWidth="1"/>
    <col min="11016" max="11016" width="4" style="1" customWidth="1"/>
    <col min="11017" max="11017" width="10.1796875" style="1" customWidth="1"/>
    <col min="11018" max="11020" width="7.1796875" style="1" customWidth="1"/>
    <col min="11021" max="11021" width="7.453125" style="1" customWidth="1"/>
    <col min="11022" max="11022" width="14.26953125" style="1" customWidth="1"/>
    <col min="11023" max="11023" width="1.81640625" style="1" customWidth="1"/>
    <col min="11024" max="11024" width="8.7265625" style="1" customWidth="1"/>
    <col min="11025" max="11025" width="3.54296875" style="1" customWidth="1"/>
    <col min="11026" max="11026" width="9.54296875" style="1" customWidth="1"/>
    <col min="11027" max="11028" width="3.1796875" style="1" customWidth="1"/>
    <col min="11029" max="11029" width="0.7265625" style="1" customWidth="1"/>
    <col min="11030" max="11264" width="9.1796875" style="1"/>
    <col min="11265" max="11265" width="0.7265625" style="1" customWidth="1"/>
    <col min="11266" max="11267" width="3.1796875" style="1" customWidth="1"/>
    <col min="11268" max="11268" width="10.1796875" style="1" customWidth="1"/>
    <col min="11269" max="11269" width="9.7265625" style="1" customWidth="1"/>
    <col min="11270" max="11270" width="1.81640625" style="1" customWidth="1"/>
    <col min="11271" max="11271" width="9" style="1" customWidth="1"/>
    <col min="11272" max="11272" width="4" style="1" customWidth="1"/>
    <col min="11273" max="11273" width="10.1796875" style="1" customWidth="1"/>
    <col min="11274" max="11276" width="7.1796875" style="1" customWidth="1"/>
    <col min="11277" max="11277" width="7.453125" style="1" customWidth="1"/>
    <col min="11278" max="11278" width="14.26953125" style="1" customWidth="1"/>
    <col min="11279" max="11279" width="1.81640625" style="1" customWidth="1"/>
    <col min="11280" max="11280" width="8.7265625" style="1" customWidth="1"/>
    <col min="11281" max="11281" width="3.54296875" style="1" customWidth="1"/>
    <col min="11282" max="11282" width="9.54296875" style="1" customWidth="1"/>
    <col min="11283" max="11284" width="3.1796875" style="1" customWidth="1"/>
    <col min="11285" max="11285" width="0.7265625" style="1" customWidth="1"/>
    <col min="11286" max="11520" width="9.1796875" style="1"/>
    <col min="11521" max="11521" width="0.7265625" style="1" customWidth="1"/>
    <col min="11522" max="11523" width="3.1796875" style="1" customWidth="1"/>
    <col min="11524" max="11524" width="10.1796875" style="1" customWidth="1"/>
    <col min="11525" max="11525" width="9.7265625" style="1" customWidth="1"/>
    <col min="11526" max="11526" width="1.81640625" style="1" customWidth="1"/>
    <col min="11527" max="11527" width="9" style="1" customWidth="1"/>
    <col min="11528" max="11528" width="4" style="1" customWidth="1"/>
    <col min="11529" max="11529" width="10.1796875" style="1" customWidth="1"/>
    <col min="11530" max="11532" width="7.1796875" style="1" customWidth="1"/>
    <col min="11533" max="11533" width="7.453125" style="1" customWidth="1"/>
    <col min="11534" max="11534" width="14.26953125" style="1" customWidth="1"/>
    <col min="11535" max="11535" width="1.81640625" style="1" customWidth="1"/>
    <col min="11536" max="11536" width="8.7265625" style="1" customWidth="1"/>
    <col min="11537" max="11537" width="3.54296875" style="1" customWidth="1"/>
    <col min="11538" max="11538" width="9.54296875" style="1" customWidth="1"/>
    <col min="11539" max="11540" width="3.1796875" style="1" customWidth="1"/>
    <col min="11541" max="11541" width="0.7265625" style="1" customWidth="1"/>
    <col min="11542" max="11776" width="9.1796875" style="1"/>
    <col min="11777" max="11777" width="0.7265625" style="1" customWidth="1"/>
    <col min="11778" max="11779" width="3.1796875" style="1" customWidth="1"/>
    <col min="11780" max="11780" width="10.1796875" style="1" customWidth="1"/>
    <col min="11781" max="11781" width="9.7265625" style="1" customWidth="1"/>
    <col min="11782" max="11782" width="1.81640625" style="1" customWidth="1"/>
    <col min="11783" max="11783" width="9" style="1" customWidth="1"/>
    <col min="11784" max="11784" width="4" style="1" customWidth="1"/>
    <col min="11785" max="11785" width="10.1796875" style="1" customWidth="1"/>
    <col min="11786" max="11788" width="7.1796875" style="1" customWidth="1"/>
    <col min="11789" max="11789" width="7.453125" style="1" customWidth="1"/>
    <col min="11790" max="11790" width="14.26953125" style="1" customWidth="1"/>
    <col min="11791" max="11791" width="1.81640625" style="1" customWidth="1"/>
    <col min="11792" max="11792" width="8.7265625" style="1" customWidth="1"/>
    <col min="11793" max="11793" width="3.54296875" style="1" customWidth="1"/>
    <col min="11794" max="11794" width="9.54296875" style="1" customWidth="1"/>
    <col min="11795" max="11796" width="3.1796875" style="1" customWidth="1"/>
    <col min="11797" max="11797" width="0.7265625" style="1" customWidth="1"/>
    <col min="11798" max="12032" width="9.1796875" style="1"/>
    <col min="12033" max="12033" width="0.7265625" style="1" customWidth="1"/>
    <col min="12034" max="12035" width="3.1796875" style="1" customWidth="1"/>
    <col min="12036" max="12036" width="10.1796875" style="1" customWidth="1"/>
    <col min="12037" max="12037" width="9.7265625" style="1" customWidth="1"/>
    <col min="12038" max="12038" width="1.81640625" style="1" customWidth="1"/>
    <col min="12039" max="12039" width="9" style="1" customWidth="1"/>
    <col min="12040" max="12040" width="4" style="1" customWidth="1"/>
    <col min="12041" max="12041" width="10.1796875" style="1" customWidth="1"/>
    <col min="12042" max="12044" width="7.1796875" style="1" customWidth="1"/>
    <col min="12045" max="12045" width="7.453125" style="1" customWidth="1"/>
    <col min="12046" max="12046" width="14.26953125" style="1" customWidth="1"/>
    <col min="12047" max="12047" width="1.81640625" style="1" customWidth="1"/>
    <col min="12048" max="12048" width="8.7265625" style="1" customWidth="1"/>
    <col min="12049" max="12049" width="3.54296875" style="1" customWidth="1"/>
    <col min="12050" max="12050" width="9.54296875" style="1" customWidth="1"/>
    <col min="12051" max="12052" width="3.1796875" style="1" customWidth="1"/>
    <col min="12053" max="12053" width="0.7265625" style="1" customWidth="1"/>
    <col min="12054" max="12288" width="9.1796875" style="1"/>
    <col min="12289" max="12289" width="0.7265625" style="1" customWidth="1"/>
    <col min="12290" max="12291" width="3.1796875" style="1" customWidth="1"/>
    <col min="12292" max="12292" width="10.1796875" style="1" customWidth="1"/>
    <col min="12293" max="12293" width="9.7265625" style="1" customWidth="1"/>
    <col min="12294" max="12294" width="1.81640625" style="1" customWidth="1"/>
    <col min="12295" max="12295" width="9" style="1" customWidth="1"/>
    <col min="12296" max="12296" width="4" style="1" customWidth="1"/>
    <col min="12297" max="12297" width="10.1796875" style="1" customWidth="1"/>
    <col min="12298" max="12300" width="7.1796875" style="1" customWidth="1"/>
    <col min="12301" max="12301" width="7.453125" style="1" customWidth="1"/>
    <col min="12302" max="12302" width="14.26953125" style="1" customWidth="1"/>
    <col min="12303" max="12303" width="1.81640625" style="1" customWidth="1"/>
    <col min="12304" max="12304" width="8.7265625" style="1" customWidth="1"/>
    <col min="12305" max="12305" width="3.54296875" style="1" customWidth="1"/>
    <col min="12306" max="12306" width="9.54296875" style="1" customWidth="1"/>
    <col min="12307" max="12308" width="3.1796875" style="1" customWidth="1"/>
    <col min="12309" max="12309" width="0.7265625" style="1" customWidth="1"/>
    <col min="12310" max="12544" width="9.1796875" style="1"/>
    <col min="12545" max="12545" width="0.7265625" style="1" customWidth="1"/>
    <col min="12546" max="12547" width="3.1796875" style="1" customWidth="1"/>
    <col min="12548" max="12548" width="10.1796875" style="1" customWidth="1"/>
    <col min="12549" max="12549" width="9.7265625" style="1" customWidth="1"/>
    <col min="12550" max="12550" width="1.81640625" style="1" customWidth="1"/>
    <col min="12551" max="12551" width="9" style="1" customWidth="1"/>
    <col min="12552" max="12552" width="4" style="1" customWidth="1"/>
    <col min="12553" max="12553" width="10.1796875" style="1" customWidth="1"/>
    <col min="12554" max="12556" width="7.1796875" style="1" customWidth="1"/>
    <col min="12557" max="12557" width="7.453125" style="1" customWidth="1"/>
    <col min="12558" max="12558" width="14.26953125" style="1" customWidth="1"/>
    <col min="12559" max="12559" width="1.81640625" style="1" customWidth="1"/>
    <col min="12560" max="12560" width="8.7265625" style="1" customWidth="1"/>
    <col min="12561" max="12561" width="3.54296875" style="1" customWidth="1"/>
    <col min="12562" max="12562" width="9.54296875" style="1" customWidth="1"/>
    <col min="12563" max="12564" width="3.1796875" style="1" customWidth="1"/>
    <col min="12565" max="12565" width="0.7265625" style="1" customWidth="1"/>
    <col min="12566" max="12800" width="9.1796875" style="1"/>
    <col min="12801" max="12801" width="0.7265625" style="1" customWidth="1"/>
    <col min="12802" max="12803" width="3.1796875" style="1" customWidth="1"/>
    <col min="12804" max="12804" width="10.1796875" style="1" customWidth="1"/>
    <col min="12805" max="12805" width="9.7265625" style="1" customWidth="1"/>
    <col min="12806" max="12806" width="1.81640625" style="1" customWidth="1"/>
    <col min="12807" max="12807" width="9" style="1" customWidth="1"/>
    <col min="12808" max="12808" width="4" style="1" customWidth="1"/>
    <col min="12809" max="12809" width="10.1796875" style="1" customWidth="1"/>
    <col min="12810" max="12812" width="7.1796875" style="1" customWidth="1"/>
    <col min="12813" max="12813" width="7.453125" style="1" customWidth="1"/>
    <col min="12814" max="12814" width="14.26953125" style="1" customWidth="1"/>
    <col min="12815" max="12815" width="1.81640625" style="1" customWidth="1"/>
    <col min="12816" max="12816" width="8.7265625" style="1" customWidth="1"/>
    <col min="12817" max="12817" width="3.54296875" style="1" customWidth="1"/>
    <col min="12818" max="12818" width="9.54296875" style="1" customWidth="1"/>
    <col min="12819" max="12820" width="3.1796875" style="1" customWidth="1"/>
    <col min="12821" max="12821" width="0.7265625" style="1" customWidth="1"/>
    <col min="12822" max="13056" width="9.1796875" style="1"/>
    <col min="13057" max="13057" width="0.7265625" style="1" customWidth="1"/>
    <col min="13058" max="13059" width="3.1796875" style="1" customWidth="1"/>
    <col min="13060" max="13060" width="10.1796875" style="1" customWidth="1"/>
    <col min="13061" max="13061" width="9.7265625" style="1" customWidth="1"/>
    <col min="13062" max="13062" width="1.81640625" style="1" customWidth="1"/>
    <col min="13063" max="13063" width="9" style="1" customWidth="1"/>
    <col min="13064" max="13064" width="4" style="1" customWidth="1"/>
    <col min="13065" max="13065" width="10.1796875" style="1" customWidth="1"/>
    <col min="13066" max="13068" width="7.1796875" style="1" customWidth="1"/>
    <col min="13069" max="13069" width="7.453125" style="1" customWidth="1"/>
    <col min="13070" max="13070" width="14.26953125" style="1" customWidth="1"/>
    <col min="13071" max="13071" width="1.81640625" style="1" customWidth="1"/>
    <col min="13072" max="13072" width="8.7265625" style="1" customWidth="1"/>
    <col min="13073" max="13073" width="3.54296875" style="1" customWidth="1"/>
    <col min="13074" max="13074" width="9.54296875" style="1" customWidth="1"/>
    <col min="13075" max="13076" width="3.1796875" style="1" customWidth="1"/>
    <col min="13077" max="13077" width="0.7265625" style="1" customWidth="1"/>
    <col min="13078" max="13312" width="9.1796875" style="1"/>
    <col min="13313" max="13313" width="0.7265625" style="1" customWidth="1"/>
    <col min="13314" max="13315" width="3.1796875" style="1" customWidth="1"/>
    <col min="13316" max="13316" width="10.1796875" style="1" customWidth="1"/>
    <col min="13317" max="13317" width="9.7265625" style="1" customWidth="1"/>
    <col min="13318" max="13318" width="1.81640625" style="1" customWidth="1"/>
    <col min="13319" max="13319" width="9" style="1" customWidth="1"/>
    <col min="13320" max="13320" width="4" style="1" customWidth="1"/>
    <col min="13321" max="13321" width="10.1796875" style="1" customWidth="1"/>
    <col min="13322" max="13324" width="7.1796875" style="1" customWidth="1"/>
    <col min="13325" max="13325" width="7.453125" style="1" customWidth="1"/>
    <col min="13326" max="13326" width="14.26953125" style="1" customWidth="1"/>
    <col min="13327" max="13327" width="1.81640625" style="1" customWidth="1"/>
    <col min="13328" max="13328" width="8.7265625" style="1" customWidth="1"/>
    <col min="13329" max="13329" width="3.54296875" style="1" customWidth="1"/>
    <col min="13330" max="13330" width="9.54296875" style="1" customWidth="1"/>
    <col min="13331" max="13332" width="3.1796875" style="1" customWidth="1"/>
    <col min="13333" max="13333" width="0.7265625" style="1" customWidth="1"/>
    <col min="13334" max="13568" width="9.1796875" style="1"/>
    <col min="13569" max="13569" width="0.7265625" style="1" customWidth="1"/>
    <col min="13570" max="13571" width="3.1796875" style="1" customWidth="1"/>
    <col min="13572" max="13572" width="10.1796875" style="1" customWidth="1"/>
    <col min="13573" max="13573" width="9.7265625" style="1" customWidth="1"/>
    <col min="13574" max="13574" width="1.81640625" style="1" customWidth="1"/>
    <col min="13575" max="13575" width="9" style="1" customWidth="1"/>
    <col min="13576" max="13576" width="4" style="1" customWidth="1"/>
    <col min="13577" max="13577" width="10.1796875" style="1" customWidth="1"/>
    <col min="13578" max="13580" width="7.1796875" style="1" customWidth="1"/>
    <col min="13581" max="13581" width="7.453125" style="1" customWidth="1"/>
    <col min="13582" max="13582" width="14.26953125" style="1" customWidth="1"/>
    <col min="13583" max="13583" width="1.81640625" style="1" customWidth="1"/>
    <col min="13584" max="13584" width="8.7265625" style="1" customWidth="1"/>
    <col min="13585" max="13585" width="3.54296875" style="1" customWidth="1"/>
    <col min="13586" max="13586" width="9.54296875" style="1" customWidth="1"/>
    <col min="13587" max="13588" width="3.1796875" style="1" customWidth="1"/>
    <col min="13589" max="13589" width="0.7265625" style="1" customWidth="1"/>
    <col min="13590" max="13824" width="9.1796875" style="1"/>
    <col min="13825" max="13825" width="0.7265625" style="1" customWidth="1"/>
    <col min="13826" max="13827" width="3.1796875" style="1" customWidth="1"/>
    <col min="13828" max="13828" width="10.1796875" style="1" customWidth="1"/>
    <col min="13829" max="13829" width="9.7265625" style="1" customWidth="1"/>
    <col min="13830" max="13830" width="1.81640625" style="1" customWidth="1"/>
    <col min="13831" max="13831" width="9" style="1" customWidth="1"/>
    <col min="13832" max="13832" width="4" style="1" customWidth="1"/>
    <col min="13833" max="13833" width="10.1796875" style="1" customWidth="1"/>
    <col min="13834" max="13836" width="7.1796875" style="1" customWidth="1"/>
    <col min="13837" max="13837" width="7.453125" style="1" customWidth="1"/>
    <col min="13838" max="13838" width="14.26953125" style="1" customWidth="1"/>
    <col min="13839" max="13839" width="1.81640625" style="1" customWidth="1"/>
    <col min="13840" max="13840" width="8.7265625" style="1" customWidth="1"/>
    <col min="13841" max="13841" width="3.54296875" style="1" customWidth="1"/>
    <col min="13842" max="13842" width="9.54296875" style="1" customWidth="1"/>
    <col min="13843" max="13844" width="3.1796875" style="1" customWidth="1"/>
    <col min="13845" max="13845" width="0.7265625" style="1" customWidth="1"/>
    <col min="13846" max="14080" width="9.1796875" style="1"/>
    <col min="14081" max="14081" width="0.7265625" style="1" customWidth="1"/>
    <col min="14082" max="14083" width="3.1796875" style="1" customWidth="1"/>
    <col min="14084" max="14084" width="10.1796875" style="1" customWidth="1"/>
    <col min="14085" max="14085" width="9.7265625" style="1" customWidth="1"/>
    <col min="14086" max="14086" width="1.81640625" style="1" customWidth="1"/>
    <col min="14087" max="14087" width="9" style="1" customWidth="1"/>
    <col min="14088" max="14088" width="4" style="1" customWidth="1"/>
    <col min="14089" max="14089" width="10.1796875" style="1" customWidth="1"/>
    <col min="14090" max="14092" width="7.1796875" style="1" customWidth="1"/>
    <col min="14093" max="14093" width="7.453125" style="1" customWidth="1"/>
    <col min="14094" max="14094" width="14.26953125" style="1" customWidth="1"/>
    <col min="14095" max="14095" width="1.81640625" style="1" customWidth="1"/>
    <col min="14096" max="14096" width="8.7265625" style="1" customWidth="1"/>
    <col min="14097" max="14097" width="3.54296875" style="1" customWidth="1"/>
    <col min="14098" max="14098" width="9.54296875" style="1" customWidth="1"/>
    <col min="14099" max="14100" width="3.1796875" style="1" customWidth="1"/>
    <col min="14101" max="14101" width="0.7265625" style="1" customWidth="1"/>
    <col min="14102" max="14336" width="9.1796875" style="1"/>
    <col min="14337" max="14337" width="0.7265625" style="1" customWidth="1"/>
    <col min="14338" max="14339" width="3.1796875" style="1" customWidth="1"/>
    <col min="14340" max="14340" width="10.1796875" style="1" customWidth="1"/>
    <col min="14341" max="14341" width="9.7265625" style="1" customWidth="1"/>
    <col min="14342" max="14342" width="1.81640625" style="1" customWidth="1"/>
    <col min="14343" max="14343" width="9" style="1" customWidth="1"/>
    <col min="14344" max="14344" width="4" style="1" customWidth="1"/>
    <col min="14345" max="14345" width="10.1796875" style="1" customWidth="1"/>
    <col min="14346" max="14348" width="7.1796875" style="1" customWidth="1"/>
    <col min="14349" max="14349" width="7.453125" style="1" customWidth="1"/>
    <col min="14350" max="14350" width="14.26953125" style="1" customWidth="1"/>
    <col min="14351" max="14351" width="1.81640625" style="1" customWidth="1"/>
    <col min="14352" max="14352" width="8.7265625" style="1" customWidth="1"/>
    <col min="14353" max="14353" width="3.54296875" style="1" customWidth="1"/>
    <col min="14354" max="14354" width="9.54296875" style="1" customWidth="1"/>
    <col min="14355" max="14356" width="3.1796875" style="1" customWidth="1"/>
    <col min="14357" max="14357" width="0.7265625" style="1" customWidth="1"/>
    <col min="14358" max="14592" width="9.1796875" style="1"/>
    <col min="14593" max="14593" width="0.7265625" style="1" customWidth="1"/>
    <col min="14594" max="14595" width="3.1796875" style="1" customWidth="1"/>
    <col min="14596" max="14596" width="10.1796875" style="1" customWidth="1"/>
    <col min="14597" max="14597" width="9.7265625" style="1" customWidth="1"/>
    <col min="14598" max="14598" width="1.81640625" style="1" customWidth="1"/>
    <col min="14599" max="14599" width="9" style="1" customWidth="1"/>
    <col min="14600" max="14600" width="4" style="1" customWidth="1"/>
    <col min="14601" max="14601" width="10.1796875" style="1" customWidth="1"/>
    <col min="14602" max="14604" width="7.1796875" style="1" customWidth="1"/>
    <col min="14605" max="14605" width="7.453125" style="1" customWidth="1"/>
    <col min="14606" max="14606" width="14.26953125" style="1" customWidth="1"/>
    <col min="14607" max="14607" width="1.81640625" style="1" customWidth="1"/>
    <col min="14608" max="14608" width="8.7265625" style="1" customWidth="1"/>
    <col min="14609" max="14609" width="3.54296875" style="1" customWidth="1"/>
    <col min="14610" max="14610" width="9.54296875" style="1" customWidth="1"/>
    <col min="14611" max="14612" width="3.1796875" style="1" customWidth="1"/>
    <col min="14613" max="14613" width="0.7265625" style="1" customWidth="1"/>
    <col min="14614" max="14848" width="9.1796875" style="1"/>
    <col min="14849" max="14849" width="0.7265625" style="1" customWidth="1"/>
    <col min="14850" max="14851" width="3.1796875" style="1" customWidth="1"/>
    <col min="14852" max="14852" width="10.1796875" style="1" customWidth="1"/>
    <col min="14853" max="14853" width="9.7265625" style="1" customWidth="1"/>
    <col min="14854" max="14854" width="1.81640625" style="1" customWidth="1"/>
    <col min="14855" max="14855" width="9" style="1" customWidth="1"/>
    <col min="14856" max="14856" width="4" style="1" customWidth="1"/>
    <col min="14857" max="14857" width="10.1796875" style="1" customWidth="1"/>
    <col min="14858" max="14860" width="7.1796875" style="1" customWidth="1"/>
    <col min="14861" max="14861" width="7.453125" style="1" customWidth="1"/>
    <col min="14862" max="14862" width="14.26953125" style="1" customWidth="1"/>
    <col min="14863" max="14863" width="1.81640625" style="1" customWidth="1"/>
    <col min="14864" max="14864" width="8.7265625" style="1" customWidth="1"/>
    <col min="14865" max="14865" width="3.54296875" style="1" customWidth="1"/>
    <col min="14866" max="14866" width="9.54296875" style="1" customWidth="1"/>
    <col min="14867" max="14868" width="3.1796875" style="1" customWidth="1"/>
    <col min="14869" max="14869" width="0.7265625" style="1" customWidth="1"/>
    <col min="14870" max="15104" width="9.1796875" style="1"/>
    <col min="15105" max="15105" width="0.7265625" style="1" customWidth="1"/>
    <col min="15106" max="15107" width="3.1796875" style="1" customWidth="1"/>
    <col min="15108" max="15108" width="10.1796875" style="1" customWidth="1"/>
    <col min="15109" max="15109" width="9.7265625" style="1" customWidth="1"/>
    <col min="15110" max="15110" width="1.81640625" style="1" customWidth="1"/>
    <col min="15111" max="15111" width="9" style="1" customWidth="1"/>
    <col min="15112" max="15112" width="4" style="1" customWidth="1"/>
    <col min="15113" max="15113" width="10.1796875" style="1" customWidth="1"/>
    <col min="15114" max="15116" width="7.1796875" style="1" customWidth="1"/>
    <col min="15117" max="15117" width="7.453125" style="1" customWidth="1"/>
    <col min="15118" max="15118" width="14.26953125" style="1" customWidth="1"/>
    <col min="15119" max="15119" width="1.81640625" style="1" customWidth="1"/>
    <col min="15120" max="15120" width="8.7265625" style="1" customWidth="1"/>
    <col min="15121" max="15121" width="3.54296875" style="1" customWidth="1"/>
    <col min="15122" max="15122" width="9.54296875" style="1" customWidth="1"/>
    <col min="15123" max="15124" width="3.1796875" style="1" customWidth="1"/>
    <col min="15125" max="15125" width="0.7265625" style="1" customWidth="1"/>
    <col min="15126" max="15360" width="9.1796875" style="1"/>
    <col min="15361" max="15361" width="0.7265625" style="1" customWidth="1"/>
    <col min="15362" max="15363" width="3.1796875" style="1" customWidth="1"/>
    <col min="15364" max="15364" width="10.1796875" style="1" customWidth="1"/>
    <col min="15365" max="15365" width="9.7265625" style="1" customWidth="1"/>
    <col min="15366" max="15366" width="1.81640625" style="1" customWidth="1"/>
    <col min="15367" max="15367" width="9" style="1" customWidth="1"/>
    <col min="15368" max="15368" width="4" style="1" customWidth="1"/>
    <col min="15369" max="15369" width="10.1796875" style="1" customWidth="1"/>
    <col min="15370" max="15372" width="7.1796875" style="1" customWidth="1"/>
    <col min="15373" max="15373" width="7.453125" style="1" customWidth="1"/>
    <col min="15374" max="15374" width="14.26953125" style="1" customWidth="1"/>
    <col min="15375" max="15375" width="1.81640625" style="1" customWidth="1"/>
    <col min="15376" max="15376" width="8.7265625" style="1" customWidth="1"/>
    <col min="15377" max="15377" width="3.54296875" style="1" customWidth="1"/>
    <col min="15378" max="15378" width="9.54296875" style="1" customWidth="1"/>
    <col min="15379" max="15380" width="3.1796875" style="1" customWidth="1"/>
    <col min="15381" max="15381" width="0.7265625" style="1" customWidth="1"/>
    <col min="15382" max="15616" width="9.1796875" style="1"/>
    <col min="15617" max="15617" width="0.7265625" style="1" customWidth="1"/>
    <col min="15618" max="15619" width="3.1796875" style="1" customWidth="1"/>
    <col min="15620" max="15620" width="10.1796875" style="1" customWidth="1"/>
    <col min="15621" max="15621" width="9.7265625" style="1" customWidth="1"/>
    <col min="15622" max="15622" width="1.81640625" style="1" customWidth="1"/>
    <col min="15623" max="15623" width="9" style="1" customWidth="1"/>
    <col min="15624" max="15624" width="4" style="1" customWidth="1"/>
    <col min="15625" max="15625" width="10.1796875" style="1" customWidth="1"/>
    <col min="15626" max="15628" width="7.1796875" style="1" customWidth="1"/>
    <col min="15629" max="15629" width="7.453125" style="1" customWidth="1"/>
    <col min="15630" max="15630" width="14.26953125" style="1" customWidth="1"/>
    <col min="15631" max="15631" width="1.81640625" style="1" customWidth="1"/>
    <col min="15632" max="15632" width="8.7265625" style="1" customWidth="1"/>
    <col min="15633" max="15633" width="3.54296875" style="1" customWidth="1"/>
    <col min="15634" max="15634" width="9.54296875" style="1" customWidth="1"/>
    <col min="15635" max="15636" width="3.1796875" style="1" customWidth="1"/>
    <col min="15637" max="15637" width="0.7265625" style="1" customWidth="1"/>
    <col min="15638" max="15872" width="9.1796875" style="1"/>
    <col min="15873" max="15873" width="0.7265625" style="1" customWidth="1"/>
    <col min="15874" max="15875" width="3.1796875" style="1" customWidth="1"/>
    <col min="15876" max="15876" width="10.1796875" style="1" customWidth="1"/>
    <col min="15877" max="15877" width="9.7265625" style="1" customWidth="1"/>
    <col min="15878" max="15878" width="1.81640625" style="1" customWidth="1"/>
    <col min="15879" max="15879" width="9" style="1" customWidth="1"/>
    <col min="15880" max="15880" width="4" style="1" customWidth="1"/>
    <col min="15881" max="15881" width="10.1796875" style="1" customWidth="1"/>
    <col min="15882" max="15884" width="7.1796875" style="1" customWidth="1"/>
    <col min="15885" max="15885" width="7.453125" style="1" customWidth="1"/>
    <col min="15886" max="15886" width="14.26953125" style="1" customWidth="1"/>
    <col min="15887" max="15887" width="1.81640625" style="1" customWidth="1"/>
    <col min="15888" max="15888" width="8.7265625" style="1" customWidth="1"/>
    <col min="15889" max="15889" width="3.54296875" style="1" customWidth="1"/>
    <col min="15890" max="15890" width="9.54296875" style="1" customWidth="1"/>
    <col min="15891" max="15892" width="3.1796875" style="1" customWidth="1"/>
    <col min="15893" max="15893" width="0.7265625" style="1" customWidth="1"/>
    <col min="15894" max="16128" width="9.1796875" style="1"/>
    <col min="16129" max="16129" width="0.7265625" style="1" customWidth="1"/>
    <col min="16130" max="16131" width="3.1796875" style="1" customWidth="1"/>
    <col min="16132" max="16132" width="10.1796875" style="1" customWidth="1"/>
    <col min="16133" max="16133" width="9.7265625" style="1" customWidth="1"/>
    <col min="16134" max="16134" width="1.81640625" style="1" customWidth="1"/>
    <col min="16135" max="16135" width="9" style="1" customWidth="1"/>
    <col min="16136" max="16136" width="4" style="1" customWidth="1"/>
    <col min="16137" max="16137" width="10.1796875" style="1" customWidth="1"/>
    <col min="16138" max="16140" width="7.1796875" style="1" customWidth="1"/>
    <col min="16141" max="16141" width="7.453125" style="1" customWidth="1"/>
    <col min="16142" max="16142" width="14.26953125" style="1" customWidth="1"/>
    <col min="16143" max="16143" width="1.81640625" style="1" customWidth="1"/>
    <col min="16144" max="16144" width="8.7265625" style="1" customWidth="1"/>
    <col min="16145" max="16145" width="3.54296875" style="1" customWidth="1"/>
    <col min="16146" max="16146" width="9.54296875" style="1" customWidth="1"/>
    <col min="16147" max="16148" width="3.1796875" style="1" customWidth="1"/>
    <col min="16149" max="16149" width="0.7265625" style="1" customWidth="1"/>
    <col min="16150" max="16384" width="9.1796875" style="1"/>
  </cols>
  <sheetData>
    <row r="1" spans="1:21" ht="15" thickTop="1" x14ac:dyDescent="0.35">
      <c r="A1" s="258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60"/>
    </row>
    <row r="2" spans="1:21" x14ac:dyDescent="0.25">
      <c r="A2" s="261"/>
      <c r="O2" s="256"/>
      <c r="P2" s="84"/>
      <c r="U2" s="262"/>
    </row>
    <row r="3" spans="1:21" ht="21" x14ac:dyDescent="0.35">
      <c r="A3" s="261"/>
      <c r="E3" s="2"/>
      <c r="F3" s="2"/>
      <c r="G3" s="2"/>
      <c r="I3" s="363" t="s">
        <v>0</v>
      </c>
      <c r="J3" s="363"/>
      <c r="K3" s="363"/>
      <c r="L3" s="363"/>
      <c r="M3" s="363"/>
      <c r="N3" s="363"/>
      <c r="O3" s="3"/>
      <c r="P3" s="4"/>
      <c r="Q3" s="2"/>
      <c r="R3" s="2"/>
      <c r="S3" s="249"/>
      <c r="U3" s="262"/>
    </row>
    <row r="4" spans="1:21" x14ac:dyDescent="0.35">
      <c r="A4" s="261"/>
      <c r="E4" s="311"/>
      <c r="F4" s="311"/>
      <c r="G4" s="311"/>
      <c r="H4" s="311"/>
      <c r="I4" s="362" t="s">
        <v>100</v>
      </c>
      <c r="J4" s="362"/>
      <c r="K4" s="362"/>
      <c r="L4" s="362"/>
      <c r="M4" s="362"/>
      <c r="N4" s="362"/>
      <c r="O4" s="311"/>
      <c r="P4" s="311"/>
      <c r="Q4" s="311"/>
      <c r="R4" s="311"/>
      <c r="S4" s="5"/>
      <c r="U4" s="262"/>
    </row>
    <row r="5" spans="1:21" ht="15.65" customHeight="1" x14ac:dyDescent="0.35">
      <c r="A5" s="261"/>
      <c r="E5" s="366" t="s">
        <v>182</v>
      </c>
      <c r="F5" s="366"/>
      <c r="G5" s="366"/>
      <c r="H5" s="366"/>
      <c r="I5" s="366"/>
      <c r="J5" s="366"/>
      <c r="K5" s="364" t="s">
        <v>183</v>
      </c>
      <c r="L5" s="364"/>
      <c r="M5" s="364"/>
      <c r="N5" s="7"/>
      <c r="O5" s="7"/>
      <c r="P5" s="7"/>
      <c r="Q5" s="7"/>
      <c r="R5" s="7"/>
      <c r="S5" s="5"/>
      <c r="U5" s="262"/>
    </row>
    <row r="6" spans="1:21" x14ac:dyDescent="0.35">
      <c r="A6" s="261"/>
      <c r="U6" s="262"/>
    </row>
    <row r="7" spans="1:21" ht="15" customHeight="1" x14ac:dyDescent="0.35">
      <c r="A7" s="261"/>
      <c r="B7" s="7"/>
      <c r="C7" s="7"/>
      <c r="D7" s="7"/>
      <c r="E7" s="7"/>
      <c r="F7" s="7"/>
      <c r="G7" s="7"/>
      <c r="H7" s="7"/>
      <c r="U7" s="262"/>
    </row>
    <row r="8" spans="1:21" x14ac:dyDescent="0.35">
      <c r="A8" s="261"/>
      <c r="U8" s="262"/>
    </row>
    <row r="9" spans="1:21" x14ac:dyDescent="0.35">
      <c r="A9" s="261"/>
      <c r="U9" s="262"/>
    </row>
    <row r="10" spans="1:21" x14ac:dyDescent="0.35">
      <c r="A10" s="261"/>
      <c r="U10" s="262"/>
    </row>
    <row r="11" spans="1:21" x14ac:dyDescent="0.35">
      <c r="A11" s="261"/>
      <c r="C11" s="364" t="s">
        <v>130</v>
      </c>
      <c r="D11" s="364"/>
      <c r="E11" s="364"/>
      <c r="F11" s="364"/>
      <c r="G11" s="364"/>
      <c r="H11" s="364"/>
      <c r="I11" s="364"/>
      <c r="J11" s="6"/>
      <c r="K11" s="6"/>
      <c r="L11" s="6"/>
      <c r="M11" s="6"/>
      <c r="N11" s="6"/>
      <c r="O11" s="6"/>
      <c r="P11" s="7" t="s">
        <v>40</v>
      </c>
      <c r="Q11" s="6"/>
      <c r="R11" s="6"/>
      <c r="S11" s="6"/>
      <c r="U11" s="262"/>
    </row>
    <row r="12" spans="1:21" ht="15" customHeight="1" x14ac:dyDescent="0.35">
      <c r="A12" s="26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252"/>
      <c r="U12" s="262"/>
    </row>
    <row r="13" spans="1:21" ht="15" thickBot="1" x14ac:dyDescent="0.4">
      <c r="A13" s="26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7"/>
      <c r="Q13" s="251"/>
      <c r="R13" s="7"/>
      <c r="S13" s="252"/>
      <c r="U13" s="262"/>
    </row>
    <row r="14" spans="1:21" ht="15.5" thickTop="1" thickBot="1" x14ac:dyDescent="0.4">
      <c r="A14" s="261"/>
      <c r="D14" s="371" t="s">
        <v>184</v>
      </c>
      <c r="E14" s="372"/>
      <c r="F14" s="372"/>
      <c r="G14" s="372"/>
      <c r="H14" s="372"/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6"/>
      <c r="U14" s="262"/>
    </row>
    <row r="15" spans="1:21" ht="15.5" thickTop="1" thickBot="1" x14ac:dyDescent="0.4">
      <c r="A15" s="261"/>
      <c r="D15" s="372"/>
      <c r="E15" s="372"/>
      <c r="F15" s="372"/>
      <c r="G15" s="372"/>
      <c r="H15" s="372"/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6"/>
      <c r="U15" s="262"/>
    </row>
    <row r="16" spans="1:21" ht="15.5" thickTop="1" thickBot="1" x14ac:dyDescent="0.4">
      <c r="A16" s="26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U16" s="262"/>
    </row>
    <row r="17" spans="1:28" x14ac:dyDescent="0.35">
      <c r="A17" s="261"/>
      <c r="D17" s="374" t="s">
        <v>116</v>
      </c>
      <c r="E17" s="375"/>
      <c r="F17" s="375"/>
      <c r="G17" s="375"/>
      <c r="H17" s="375"/>
      <c r="I17" s="376"/>
      <c r="J17" s="6"/>
      <c r="K17" s="6"/>
      <c r="L17" s="6"/>
      <c r="M17" s="374" t="s">
        <v>1</v>
      </c>
      <c r="N17" s="377"/>
      <c r="O17" s="377"/>
      <c r="P17" s="377"/>
      <c r="Q17" s="377"/>
      <c r="R17" s="378"/>
      <c r="S17" s="8"/>
      <c r="U17" s="262"/>
    </row>
    <row r="18" spans="1:28" x14ac:dyDescent="0.3">
      <c r="A18" s="261"/>
      <c r="D18" s="379" t="s">
        <v>2</v>
      </c>
      <c r="E18" s="380"/>
      <c r="F18" s="254" t="s">
        <v>3</v>
      </c>
      <c r="G18" s="9" t="str">
        <f>P18</f>
        <v>18/8/2026</v>
      </c>
      <c r="H18" s="131" t="s">
        <v>4</v>
      </c>
      <c r="I18" s="10" t="s">
        <v>180</v>
      </c>
      <c r="J18" s="6"/>
      <c r="K18" s="6"/>
      <c r="L18" s="6"/>
      <c r="M18" s="11" t="s">
        <v>5</v>
      </c>
      <c r="N18" s="12"/>
      <c r="O18" s="13" t="s">
        <v>3</v>
      </c>
      <c r="P18" s="9" t="s">
        <v>178</v>
      </c>
      <c r="Q18" s="131" t="s">
        <v>101</v>
      </c>
      <c r="R18" s="10" t="s">
        <v>179</v>
      </c>
      <c r="S18" s="14"/>
      <c r="U18" s="262"/>
      <c r="W18" s="235"/>
      <c r="X18" s="236"/>
    </row>
    <row r="19" spans="1:28" x14ac:dyDescent="0.35">
      <c r="A19" s="261"/>
      <c r="D19" s="15" t="s">
        <v>6</v>
      </c>
      <c r="E19" s="6"/>
      <c r="F19" s="252" t="s">
        <v>3</v>
      </c>
      <c r="G19" s="16"/>
      <c r="H19" s="17" t="s">
        <v>7</v>
      </c>
      <c r="I19" s="18"/>
      <c r="J19" s="6"/>
      <c r="K19" s="6"/>
      <c r="L19" s="6"/>
      <c r="M19" s="15" t="s">
        <v>8</v>
      </c>
      <c r="N19" s="6"/>
      <c r="O19" s="19" t="s">
        <v>3</v>
      </c>
      <c r="P19" s="20">
        <v>60</v>
      </c>
      <c r="Q19" s="370" t="s">
        <v>9</v>
      </c>
      <c r="R19" s="381"/>
      <c r="S19" s="6"/>
      <c r="U19" s="262"/>
      <c r="AB19" s="313" t="s">
        <v>119</v>
      </c>
    </row>
    <row r="20" spans="1:28" x14ac:dyDescent="0.35">
      <c r="A20" s="261"/>
      <c r="D20" s="15" t="s">
        <v>10</v>
      </c>
      <c r="E20" s="6"/>
      <c r="F20" s="252" t="s">
        <v>3</v>
      </c>
      <c r="G20" s="20"/>
      <c r="H20" s="17" t="s">
        <v>7</v>
      </c>
      <c r="I20" s="21"/>
      <c r="J20" s="6"/>
      <c r="K20" s="6"/>
      <c r="L20" s="6"/>
      <c r="M20" s="15" t="s">
        <v>11</v>
      </c>
      <c r="N20" s="6"/>
      <c r="O20" s="19" t="s">
        <v>3</v>
      </c>
      <c r="P20" s="6"/>
      <c r="Q20" s="370" t="s">
        <v>9</v>
      </c>
      <c r="R20" s="381"/>
      <c r="S20" s="6"/>
      <c r="U20" s="262"/>
      <c r="AB20" s="313" t="s">
        <v>120</v>
      </c>
    </row>
    <row r="21" spans="1:28" ht="15" thickBot="1" x14ac:dyDescent="0.4">
      <c r="A21" s="261"/>
      <c r="D21" s="15" t="s">
        <v>12</v>
      </c>
      <c r="E21" s="6"/>
      <c r="F21" s="252" t="s">
        <v>3</v>
      </c>
      <c r="G21" s="20"/>
      <c r="H21" s="17" t="s">
        <v>7</v>
      </c>
      <c r="I21" s="21"/>
      <c r="J21" s="6"/>
      <c r="K21" s="6"/>
      <c r="L21" s="6"/>
      <c r="M21" s="22" t="s">
        <v>13</v>
      </c>
      <c r="N21" s="23"/>
      <c r="O21" s="24" t="s">
        <v>3</v>
      </c>
      <c r="P21" s="23"/>
      <c r="Q21" s="382" t="s">
        <v>9</v>
      </c>
      <c r="R21" s="383"/>
      <c r="S21" s="15"/>
      <c r="U21" s="262"/>
      <c r="AB21" s="313" t="s">
        <v>121</v>
      </c>
    </row>
    <row r="22" spans="1:28" ht="15" thickBot="1" x14ac:dyDescent="0.4">
      <c r="A22" s="261"/>
      <c r="D22" s="15" t="s">
        <v>14</v>
      </c>
      <c r="E22" s="6"/>
      <c r="F22" s="252" t="s">
        <v>3</v>
      </c>
      <c r="G22" s="16"/>
      <c r="H22" s="17" t="s">
        <v>7</v>
      </c>
      <c r="I22" s="21"/>
      <c r="J22" s="6"/>
      <c r="K22" s="6"/>
      <c r="L22" s="6"/>
      <c r="M22" s="6"/>
      <c r="N22" s="6"/>
      <c r="O22" s="6"/>
      <c r="P22" s="6"/>
      <c r="Q22" s="6"/>
      <c r="R22" s="6"/>
      <c r="S22" s="6"/>
      <c r="U22" s="262"/>
      <c r="AB22" s="313" t="s">
        <v>122</v>
      </c>
    </row>
    <row r="23" spans="1:28" ht="15" thickBot="1" x14ac:dyDescent="0.4">
      <c r="A23" s="261"/>
      <c r="D23" s="22" t="s">
        <v>15</v>
      </c>
      <c r="E23" s="23"/>
      <c r="F23" s="253" t="s">
        <v>3</v>
      </c>
      <c r="G23" s="25">
        <v>0</v>
      </c>
      <c r="H23" s="26" t="s">
        <v>7</v>
      </c>
      <c r="I23" s="27"/>
      <c r="J23" s="6"/>
      <c r="K23" s="6"/>
      <c r="L23" s="6"/>
      <c r="M23" s="374" t="s">
        <v>129</v>
      </c>
      <c r="N23" s="377"/>
      <c r="O23" s="377"/>
      <c r="P23" s="377"/>
      <c r="Q23" s="377"/>
      <c r="R23" s="378"/>
      <c r="S23" s="8"/>
      <c r="U23" s="262"/>
      <c r="AB23" s="313" t="s">
        <v>123</v>
      </c>
    </row>
    <row r="24" spans="1:28" ht="15" thickBot="1" x14ac:dyDescent="0.4">
      <c r="A24" s="261"/>
      <c r="D24" s="6"/>
      <c r="E24" s="6"/>
      <c r="F24" s="6"/>
      <c r="G24" s="6"/>
      <c r="H24" s="6"/>
      <c r="I24" s="6"/>
      <c r="J24" s="6"/>
      <c r="K24" s="6"/>
      <c r="L24" s="6"/>
      <c r="M24" s="232" t="s">
        <v>97</v>
      </c>
      <c r="N24" s="29"/>
      <c r="O24" s="29"/>
      <c r="P24" s="29"/>
      <c r="Q24" s="29"/>
      <c r="R24" s="30"/>
      <c r="S24" s="6"/>
      <c r="U24" s="262"/>
      <c r="AB24" s="313" t="s">
        <v>124</v>
      </c>
    </row>
    <row r="25" spans="1:28" x14ac:dyDescent="0.35">
      <c r="A25" s="261"/>
      <c r="D25" s="374" t="s">
        <v>16</v>
      </c>
      <c r="E25" s="377"/>
      <c r="F25" s="377"/>
      <c r="G25" s="377"/>
      <c r="H25" s="377"/>
      <c r="I25" s="378"/>
      <c r="J25" s="6"/>
      <c r="K25" s="6"/>
      <c r="L25" s="6"/>
      <c r="M25" s="232" t="s">
        <v>98</v>
      </c>
      <c r="N25" s="29"/>
      <c r="O25" s="6"/>
      <c r="P25" s="6"/>
      <c r="Q25" s="6"/>
      <c r="R25" s="21"/>
      <c r="S25" s="6"/>
      <c r="U25" s="262"/>
    </row>
    <row r="26" spans="1:28" x14ac:dyDescent="0.35">
      <c r="A26" s="261"/>
      <c r="D26" s="28"/>
      <c r="E26" s="29"/>
      <c r="F26" s="29"/>
      <c r="G26" s="29"/>
      <c r="H26" s="29"/>
      <c r="I26" s="30"/>
      <c r="J26" s="6"/>
      <c r="K26" s="6"/>
      <c r="L26" s="6"/>
      <c r="M26" s="233" t="s">
        <v>99</v>
      </c>
      <c r="N26" s="29"/>
      <c r="O26" s="32"/>
      <c r="P26" s="32"/>
      <c r="Q26" s="32"/>
      <c r="R26" s="33"/>
      <c r="S26" s="6"/>
      <c r="U26" s="262"/>
    </row>
    <row r="27" spans="1:28" x14ac:dyDescent="0.35">
      <c r="A27" s="261"/>
      <c r="D27" s="31"/>
      <c r="E27" s="32"/>
      <c r="F27" s="32"/>
      <c r="G27" s="32"/>
      <c r="H27" s="32"/>
      <c r="I27" s="33"/>
      <c r="J27" s="6"/>
      <c r="K27" s="6"/>
      <c r="L27" s="6"/>
      <c r="M27" s="233" t="s">
        <v>114</v>
      </c>
      <c r="N27" s="29"/>
      <c r="O27" s="32"/>
      <c r="P27" s="32"/>
      <c r="Q27" s="32"/>
      <c r="R27" s="33"/>
      <c r="S27" s="6"/>
      <c r="U27" s="262"/>
    </row>
    <row r="28" spans="1:28" x14ac:dyDescent="0.35">
      <c r="A28" s="261"/>
      <c r="D28" s="31"/>
      <c r="E28" s="32"/>
      <c r="F28" s="32"/>
      <c r="G28" s="32"/>
      <c r="H28" s="32"/>
      <c r="I28" s="33"/>
      <c r="J28" s="6"/>
      <c r="K28" s="6"/>
      <c r="L28" s="6"/>
      <c r="M28" s="233" t="s">
        <v>117</v>
      </c>
      <c r="N28" s="32"/>
      <c r="O28" s="32"/>
      <c r="P28" s="32"/>
      <c r="Q28" s="32"/>
      <c r="R28" s="33"/>
      <c r="S28" s="6"/>
      <c r="U28" s="262"/>
    </row>
    <row r="29" spans="1:28" ht="15" thickBot="1" x14ac:dyDescent="0.4">
      <c r="A29" s="261"/>
      <c r="D29" s="22"/>
      <c r="E29" s="23"/>
      <c r="F29" s="23"/>
      <c r="G29" s="23"/>
      <c r="H29" s="23"/>
      <c r="I29" s="27"/>
      <c r="J29" s="6"/>
      <c r="K29" s="6"/>
      <c r="L29" s="6"/>
      <c r="M29" s="255" t="s">
        <v>118</v>
      </c>
      <c r="N29" s="23"/>
      <c r="O29" s="23"/>
      <c r="P29" s="23"/>
      <c r="Q29" s="23"/>
      <c r="R29" s="27"/>
      <c r="S29" s="6"/>
      <c r="U29" s="262"/>
    </row>
    <row r="30" spans="1:28" x14ac:dyDescent="0.35">
      <c r="A30" s="261"/>
      <c r="D30" s="34"/>
      <c r="E30" s="34"/>
      <c r="F30" s="34"/>
      <c r="G30" s="34"/>
      <c r="H30" s="34"/>
      <c r="I30" s="34"/>
      <c r="J30" s="6"/>
      <c r="K30" s="6"/>
      <c r="L30" s="6"/>
      <c r="M30" s="6"/>
      <c r="N30" s="6"/>
      <c r="O30" s="6"/>
      <c r="P30" s="6"/>
      <c r="Q30" s="6"/>
      <c r="R30" s="6"/>
      <c r="S30" s="6"/>
      <c r="U30" s="262"/>
    </row>
    <row r="31" spans="1:28" x14ac:dyDescent="0.35">
      <c r="A31" s="261"/>
      <c r="D31" s="6" t="s">
        <v>50</v>
      </c>
      <c r="E31" s="6"/>
      <c r="F31" s="6"/>
      <c r="G31" s="6"/>
      <c r="H31" s="6"/>
      <c r="I31" s="252"/>
      <c r="J31" s="370" t="s">
        <v>51</v>
      </c>
      <c r="K31" s="370"/>
      <c r="L31" s="370"/>
      <c r="M31" s="370"/>
      <c r="N31" s="35"/>
      <c r="O31" s="250"/>
      <c r="P31" s="373" t="s">
        <v>177</v>
      </c>
      <c r="Q31" s="373"/>
      <c r="R31" s="373"/>
      <c r="S31" s="252"/>
      <c r="U31" s="262"/>
    </row>
    <row r="32" spans="1:28" x14ac:dyDescent="0.35">
      <c r="A32" s="261"/>
      <c r="D32" s="257" t="s">
        <v>130</v>
      </c>
      <c r="E32" s="257"/>
      <c r="F32" s="257"/>
      <c r="G32" s="257"/>
      <c r="H32" s="6"/>
      <c r="I32" s="257"/>
      <c r="J32" s="369" t="s">
        <v>130</v>
      </c>
      <c r="K32" s="369"/>
      <c r="L32" s="369"/>
      <c r="M32" s="369"/>
      <c r="N32" s="6"/>
      <c r="O32" s="6"/>
      <c r="P32" s="6" t="s">
        <v>34</v>
      </c>
      <c r="Q32" s="6"/>
      <c r="R32" s="6"/>
      <c r="S32" s="252"/>
      <c r="U32" s="262"/>
    </row>
    <row r="33" spans="1:21" x14ac:dyDescent="0.35">
      <c r="A33" s="26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U33" s="262"/>
    </row>
    <row r="34" spans="1:21" x14ac:dyDescent="0.35">
      <c r="A34" s="26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S34" s="252"/>
      <c r="U34" s="262"/>
    </row>
    <row r="35" spans="1:21" x14ac:dyDescent="0.35">
      <c r="A35" s="26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52"/>
      <c r="U35" s="262"/>
    </row>
    <row r="36" spans="1:21" x14ac:dyDescent="0.35">
      <c r="A36" s="261"/>
      <c r="D36" s="201" t="s">
        <v>172</v>
      </c>
      <c r="E36" s="201"/>
      <c r="F36" s="201"/>
      <c r="G36" s="201"/>
      <c r="H36" s="6"/>
      <c r="I36" s="12"/>
      <c r="J36" s="365" t="s">
        <v>176</v>
      </c>
      <c r="K36" s="365"/>
      <c r="L36" s="365"/>
      <c r="M36" s="365"/>
      <c r="N36" s="6"/>
      <c r="O36" s="12"/>
      <c r="P36" s="12" t="s">
        <v>127</v>
      </c>
      <c r="Q36" s="12"/>
      <c r="R36" s="6"/>
      <c r="S36" s="252"/>
      <c r="U36" s="262"/>
    </row>
    <row r="37" spans="1:21" ht="24.5" customHeight="1" x14ac:dyDescent="0.35">
      <c r="A37" s="261"/>
      <c r="D37" s="84" t="s">
        <v>174</v>
      </c>
      <c r="E37" s="84"/>
      <c r="F37" s="84"/>
      <c r="G37" s="84"/>
      <c r="H37" s="84"/>
      <c r="I37" s="86"/>
      <c r="J37" s="367" t="s">
        <v>175</v>
      </c>
      <c r="K37" s="368"/>
      <c r="L37" s="368"/>
      <c r="M37" s="368"/>
      <c r="O37" s="84"/>
      <c r="P37" s="84" t="s">
        <v>86</v>
      </c>
      <c r="U37" s="262"/>
    </row>
    <row r="38" spans="1:21" ht="15" thickBot="1" x14ac:dyDescent="0.4">
      <c r="A38" s="263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5"/>
    </row>
    <row r="39" spans="1:21" ht="15" thickTop="1" x14ac:dyDescent="0.35"/>
  </sheetData>
  <mergeCells count="19">
    <mergeCell ref="J37:M37"/>
    <mergeCell ref="J32:M32"/>
    <mergeCell ref="J31:M31"/>
    <mergeCell ref="D14:R15"/>
    <mergeCell ref="P31:R31"/>
    <mergeCell ref="D17:I17"/>
    <mergeCell ref="M17:R17"/>
    <mergeCell ref="D25:I25"/>
    <mergeCell ref="D18:E18"/>
    <mergeCell ref="Q19:R19"/>
    <mergeCell ref="Q20:R20"/>
    <mergeCell ref="Q21:R21"/>
    <mergeCell ref="M23:R23"/>
    <mergeCell ref="I4:N4"/>
    <mergeCell ref="I3:N3"/>
    <mergeCell ref="C11:I11"/>
    <mergeCell ref="J36:M36"/>
    <mergeCell ref="E5:J5"/>
    <mergeCell ref="K5:M5"/>
  </mergeCells>
  <printOptions horizontalCentered="1"/>
  <pageMargins left="0.7" right="0.7" top="0.75" bottom="0.75" header="0.3" footer="0.3"/>
  <pageSetup paperSize="9" scale="83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3"/>
  <sheetViews>
    <sheetView view="pageBreakPreview" topLeftCell="B12" zoomScaleNormal="40" zoomScaleSheetLayoutView="100" workbookViewId="0">
      <selection activeCell="AA21" sqref="AA21"/>
    </sheetView>
  </sheetViews>
  <sheetFormatPr defaultRowHeight="14.5" x14ac:dyDescent="0.35"/>
  <cols>
    <col min="1" max="1" width="3.1796875" customWidth="1"/>
    <col min="2" max="2" width="6.54296875" customWidth="1"/>
    <col min="3" max="3" width="48" customWidth="1"/>
    <col min="4" max="4" width="9" customWidth="1"/>
    <col min="5" max="5" width="7.81640625" customWidth="1"/>
    <col min="6" max="6" width="5.1796875" hidden="1" customWidth="1"/>
    <col min="7" max="20" width="8.7265625" customWidth="1"/>
    <col min="21" max="21" width="8.453125" customWidth="1"/>
    <col min="22" max="22" width="11.453125" customWidth="1"/>
    <col min="23" max="23" width="16.7265625" customWidth="1"/>
    <col min="24" max="24" width="1.7265625" customWidth="1"/>
    <col min="25" max="25" width="16.54296875" customWidth="1"/>
    <col min="26" max="26" width="3.1796875" customWidth="1"/>
    <col min="31" max="31" width="10.26953125" bestFit="1" customWidth="1"/>
    <col min="32" max="32" width="13.81640625" bestFit="1" customWidth="1"/>
    <col min="33" max="33" width="11.26953125" bestFit="1" customWidth="1"/>
  </cols>
  <sheetData>
    <row r="1" spans="1:27" ht="15" customHeight="1" x14ac:dyDescent="0.35"/>
    <row r="2" spans="1:27" ht="15" customHeight="1" x14ac:dyDescent="0.35">
      <c r="U2" s="36"/>
      <c r="V2" s="36"/>
      <c r="W2" s="36"/>
      <c r="X2" s="36"/>
      <c r="Y2" s="36"/>
    </row>
    <row r="3" spans="1:27" ht="15" customHeight="1" x14ac:dyDescent="0.35">
      <c r="U3" s="36"/>
      <c r="V3" s="36"/>
      <c r="W3" s="36"/>
      <c r="X3" s="36"/>
      <c r="Y3" s="36"/>
    </row>
    <row r="4" spans="1:27" ht="15" customHeight="1" x14ac:dyDescent="0.35">
      <c r="U4" s="36"/>
      <c r="V4" s="89" t="s">
        <v>34</v>
      </c>
      <c r="W4" s="36"/>
      <c r="X4" s="36"/>
      <c r="Y4" s="36"/>
    </row>
    <row r="5" spans="1:27" ht="15" customHeight="1" x14ac:dyDescent="0.35">
      <c r="B5" s="37"/>
      <c r="C5" s="38" t="str">
        <f>COVER!$C$11</f>
        <v>Semen Indonesia Foundation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6"/>
      <c r="V5" s="36"/>
      <c r="W5" s="36"/>
      <c r="X5" s="36"/>
      <c r="Y5" s="36"/>
    </row>
    <row r="6" spans="1:27" ht="15" customHeight="1" thickBot="1" x14ac:dyDescent="0.4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1:27" ht="20.149999999999999" customHeight="1" thickTop="1" thickBot="1" x14ac:dyDescent="0.4">
      <c r="B7" s="405" t="s">
        <v>19</v>
      </c>
      <c r="C7" s="406"/>
      <c r="D7" s="406"/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7"/>
      <c r="Z7" s="40"/>
    </row>
    <row r="8" spans="1:27" ht="25.15" customHeight="1" thickTop="1" x14ac:dyDescent="0.35">
      <c r="B8" s="202"/>
      <c r="C8" s="182" t="s">
        <v>39</v>
      </c>
      <c r="D8" s="203" t="s">
        <v>3</v>
      </c>
      <c r="E8" s="182" t="str">
        <f>COVER!D14</f>
        <v>PEKERJAAN ASESMENT KAMPUS B UNIVERSITAS  INTERNASIONAL SEMEN INDONESIA</v>
      </c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418" t="s">
        <v>108</v>
      </c>
      <c r="W8" s="418"/>
      <c r="X8" s="418"/>
      <c r="Y8" s="419"/>
      <c r="Z8" s="40"/>
    </row>
    <row r="9" spans="1:27" ht="25.15" customHeight="1" x14ac:dyDescent="0.35">
      <c r="B9" s="205"/>
      <c r="C9" s="183" t="s">
        <v>95</v>
      </c>
      <c r="D9" s="206" t="s">
        <v>3</v>
      </c>
      <c r="E9" s="183" t="s">
        <v>34</v>
      </c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420" t="s">
        <v>109</v>
      </c>
      <c r="W9" s="420"/>
      <c r="X9" s="420"/>
      <c r="Y9" s="421"/>
      <c r="Z9" s="40"/>
    </row>
    <row r="10" spans="1:27" ht="25.15" customHeight="1" thickBot="1" x14ac:dyDescent="0.4">
      <c r="B10" s="208"/>
      <c r="C10" s="183" t="s">
        <v>96</v>
      </c>
      <c r="D10" s="209" t="s">
        <v>3</v>
      </c>
      <c r="E10" s="184">
        <f>COVER!L5</f>
        <v>0</v>
      </c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422"/>
      <c r="W10" s="422"/>
      <c r="X10" s="422"/>
      <c r="Y10" s="423"/>
      <c r="Z10" s="40"/>
    </row>
    <row r="11" spans="1:27" ht="15" customHeight="1" thickTop="1" x14ac:dyDescent="0.35">
      <c r="A11" s="42"/>
      <c r="B11" s="408" t="s">
        <v>17</v>
      </c>
      <c r="C11" s="403" t="s">
        <v>20</v>
      </c>
      <c r="D11" s="403" t="s">
        <v>18</v>
      </c>
      <c r="E11" s="403" t="s">
        <v>22</v>
      </c>
      <c r="F11" s="211"/>
      <c r="G11" s="410">
        <v>2024</v>
      </c>
      <c r="H11" s="410"/>
      <c r="I11" s="410"/>
      <c r="J11" s="410"/>
      <c r="K11" s="410"/>
      <c r="L11" s="410"/>
      <c r="M11" s="410"/>
      <c r="N11" s="410"/>
      <c r="O11" s="410"/>
      <c r="P11" s="410"/>
      <c r="Q11" s="410"/>
      <c r="R11" s="410"/>
      <c r="S11" s="212"/>
      <c r="T11" s="212"/>
      <c r="U11" s="404" t="s">
        <v>7</v>
      </c>
      <c r="V11" s="424" t="s">
        <v>21</v>
      </c>
      <c r="W11" s="425"/>
      <c r="X11" s="425"/>
      <c r="Y11" s="426"/>
      <c r="Z11" s="40"/>
    </row>
    <row r="12" spans="1:27" ht="15" customHeight="1" x14ac:dyDescent="0.35">
      <c r="A12" s="42"/>
      <c r="B12" s="408"/>
      <c r="C12" s="404"/>
      <c r="D12" s="404"/>
      <c r="E12" s="404"/>
      <c r="F12" s="211"/>
      <c r="G12" s="411" t="s">
        <v>45</v>
      </c>
      <c r="H12" s="411"/>
      <c r="I12" s="411"/>
      <c r="J12" s="411"/>
      <c r="K12" s="412" t="s">
        <v>46</v>
      </c>
      <c r="L12" s="413"/>
      <c r="M12" s="413"/>
      <c r="N12" s="414"/>
      <c r="O12" s="412" t="s">
        <v>48</v>
      </c>
      <c r="P12" s="413"/>
      <c r="Q12" s="413"/>
      <c r="R12" s="414"/>
      <c r="S12" s="411" t="s">
        <v>49</v>
      </c>
      <c r="T12" s="411"/>
      <c r="U12" s="404"/>
      <c r="V12" s="427"/>
      <c r="W12" s="428"/>
      <c r="X12" s="428"/>
      <c r="Y12" s="429"/>
      <c r="Z12" s="40"/>
    </row>
    <row r="13" spans="1:27" ht="15" customHeight="1" x14ac:dyDescent="0.35">
      <c r="A13" s="42"/>
      <c r="B13" s="408"/>
      <c r="C13" s="404"/>
      <c r="D13" s="404"/>
      <c r="E13" s="404"/>
      <c r="F13" s="213"/>
      <c r="G13" s="411"/>
      <c r="H13" s="411"/>
      <c r="I13" s="411"/>
      <c r="J13" s="411"/>
      <c r="K13" s="415"/>
      <c r="L13" s="416"/>
      <c r="M13" s="416"/>
      <c r="N13" s="417"/>
      <c r="O13" s="415"/>
      <c r="P13" s="416"/>
      <c r="Q13" s="416"/>
      <c r="R13" s="417"/>
      <c r="S13" s="411"/>
      <c r="T13" s="411"/>
      <c r="U13" s="404"/>
      <c r="V13" s="427"/>
      <c r="W13" s="428"/>
      <c r="X13" s="428"/>
      <c r="Y13" s="429"/>
      <c r="Z13" s="40"/>
    </row>
    <row r="14" spans="1:27" ht="15" customHeight="1" thickBot="1" x14ac:dyDescent="0.4">
      <c r="A14" s="42"/>
      <c r="B14" s="408"/>
      <c r="C14" s="409"/>
      <c r="D14" s="214" t="s">
        <v>26</v>
      </c>
      <c r="E14" s="215" t="s">
        <v>27</v>
      </c>
      <c r="F14" s="215"/>
      <c r="G14" s="216">
        <v>1</v>
      </c>
      <c r="H14" s="216">
        <f t="shared" ref="H14:R14" si="0">G14+1</f>
        <v>2</v>
      </c>
      <c r="I14" s="216">
        <f t="shared" si="0"/>
        <v>3</v>
      </c>
      <c r="J14" s="216">
        <f t="shared" si="0"/>
        <v>4</v>
      </c>
      <c r="K14" s="216">
        <v>5</v>
      </c>
      <c r="L14" s="216">
        <v>6</v>
      </c>
      <c r="M14" s="216">
        <f t="shared" ref="M14" si="1">L14+1</f>
        <v>7</v>
      </c>
      <c r="N14" s="216">
        <f t="shared" ref="N14" si="2">M14+1</f>
        <v>8</v>
      </c>
      <c r="O14" s="216">
        <v>9</v>
      </c>
      <c r="P14" s="216">
        <f t="shared" si="0"/>
        <v>10</v>
      </c>
      <c r="Q14" s="216">
        <f t="shared" si="0"/>
        <v>11</v>
      </c>
      <c r="R14" s="216">
        <f t="shared" si="0"/>
        <v>12</v>
      </c>
      <c r="S14" s="216">
        <f t="shared" ref="S14" si="3">R14+1</f>
        <v>13</v>
      </c>
      <c r="T14" s="216">
        <f t="shared" ref="T14" si="4">S14+1</f>
        <v>14</v>
      </c>
      <c r="U14" s="404"/>
      <c r="V14" s="430"/>
      <c r="W14" s="431"/>
      <c r="X14" s="431"/>
      <c r="Y14" s="432"/>
      <c r="Z14" s="40"/>
    </row>
    <row r="15" spans="1:27" ht="15" customHeight="1" thickTop="1" x14ac:dyDescent="0.35">
      <c r="A15" s="42"/>
      <c r="B15" s="106" t="s">
        <v>23</v>
      </c>
      <c r="C15" s="107" t="s">
        <v>47</v>
      </c>
      <c r="D15" s="217"/>
      <c r="E15" s="218"/>
      <c r="F15" s="219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1"/>
      <c r="V15" s="394"/>
      <c r="W15" s="395"/>
      <c r="X15" s="395"/>
      <c r="Y15" s="396"/>
      <c r="Z15" s="40"/>
    </row>
    <row r="16" spans="1:27" ht="15" customHeight="1" x14ac:dyDescent="0.35">
      <c r="A16" s="42"/>
      <c r="B16" s="127">
        <v>1</v>
      </c>
      <c r="C16" s="108" t="s">
        <v>86</v>
      </c>
      <c r="D16" s="234">
        <v>5</v>
      </c>
      <c r="E16" s="223">
        <v>5</v>
      </c>
      <c r="F16" s="224"/>
      <c r="G16" s="238">
        <f>E16/14</f>
        <v>0.35714285714285715</v>
      </c>
      <c r="H16" s="238">
        <f>G16</f>
        <v>0.35714285714285715</v>
      </c>
      <c r="I16" s="238">
        <f t="shared" ref="I16:T24" si="5">H16</f>
        <v>0.35714285714285715</v>
      </c>
      <c r="J16" s="238">
        <f t="shared" si="5"/>
        <v>0.35714285714285715</v>
      </c>
      <c r="K16" s="238">
        <f t="shared" si="5"/>
        <v>0.35714285714285715</v>
      </c>
      <c r="L16" s="238">
        <f t="shared" si="5"/>
        <v>0.35714285714285715</v>
      </c>
      <c r="M16" s="238">
        <f t="shared" si="5"/>
        <v>0.35714285714285715</v>
      </c>
      <c r="N16" s="238">
        <f t="shared" si="5"/>
        <v>0.35714285714285715</v>
      </c>
      <c r="O16" s="238">
        <f t="shared" si="5"/>
        <v>0.35714285714285715</v>
      </c>
      <c r="P16" s="238">
        <f t="shared" si="5"/>
        <v>0.35714285714285715</v>
      </c>
      <c r="Q16" s="238">
        <f t="shared" si="5"/>
        <v>0.35714285714285715</v>
      </c>
      <c r="R16" s="238">
        <f t="shared" si="5"/>
        <v>0.35714285714285715</v>
      </c>
      <c r="S16" s="238">
        <f t="shared" si="5"/>
        <v>0.35714285714285715</v>
      </c>
      <c r="T16" s="238">
        <f t="shared" si="5"/>
        <v>0.35714285714285715</v>
      </c>
      <c r="U16" s="237">
        <v>100</v>
      </c>
      <c r="V16" s="397" t="s">
        <v>41</v>
      </c>
      <c r="W16" s="398"/>
      <c r="X16" s="398"/>
      <c r="Y16" s="399"/>
      <c r="Z16" s="40"/>
      <c r="AA16" s="273">
        <f>SUM(G16:T16)</f>
        <v>4.9999999999999991</v>
      </c>
    </row>
    <row r="17" spans="1:32" ht="15" customHeight="1" x14ac:dyDescent="0.35">
      <c r="A17" s="42"/>
      <c r="B17" s="127"/>
      <c r="C17" s="109"/>
      <c r="D17" s="234"/>
      <c r="E17" s="226"/>
      <c r="F17" s="224"/>
      <c r="G17" s="227">
        <f t="shared" ref="G17:L17" si="6">G16</f>
        <v>0.35714285714285715</v>
      </c>
      <c r="H17" s="227">
        <f t="shared" si="6"/>
        <v>0.35714285714285715</v>
      </c>
      <c r="I17" s="227">
        <f t="shared" si="6"/>
        <v>0.35714285714285715</v>
      </c>
      <c r="J17" s="227">
        <f t="shared" si="6"/>
        <v>0.35714285714285715</v>
      </c>
      <c r="K17" s="227">
        <f t="shared" si="6"/>
        <v>0.35714285714285715</v>
      </c>
      <c r="L17" s="227">
        <f t="shared" si="6"/>
        <v>0.35714285714285715</v>
      </c>
      <c r="M17" s="227"/>
      <c r="N17" s="227"/>
      <c r="O17" s="227"/>
      <c r="P17" s="227"/>
      <c r="Q17" s="227"/>
      <c r="R17" s="227"/>
      <c r="S17" s="227"/>
      <c r="T17" s="227"/>
      <c r="U17" s="228"/>
      <c r="V17" s="400"/>
      <c r="W17" s="401"/>
      <c r="X17" s="401"/>
      <c r="Y17" s="402"/>
      <c r="Z17" s="40"/>
      <c r="AA17" s="273">
        <f>SUM(G17:T17)</f>
        <v>2.1428571428571428</v>
      </c>
    </row>
    <row r="18" spans="1:32" ht="15" customHeight="1" x14ac:dyDescent="0.35">
      <c r="A18" s="42"/>
      <c r="B18" s="127">
        <v>2</v>
      </c>
      <c r="C18" s="109" t="s">
        <v>89</v>
      </c>
      <c r="D18" s="234">
        <v>20</v>
      </c>
      <c r="E18" s="223">
        <v>20</v>
      </c>
      <c r="F18" s="224"/>
      <c r="G18" s="238"/>
      <c r="H18" s="238">
        <f>D18/10</f>
        <v>2</v>
      </c>
      <c r="I18" s="238">
        <f>H18</f>
        <v>2</v>
      </c>
      <c r="J18" s="238">
        <f t="shared" si="5"/>
        <v>2</v>
      </c>
      <c r="K18" s="238">
        <f t="shared" si="5"/>
        <v>2</v>
      </c>
      <c r="L18" s="238">
        <f t="shared" si="5"/>
        <v>2</v>
      </c>
      <c r="M18" s="238">
        <f t="shared" ref="M18" si="7">L18</f>
        <v>2</v>
      </c>
      <c r="N18" s="238">
        <f t="shared" ref="N18" si="8">M18</f>
        <v>2</v>
      </c>
      <c r="O18" s="238">
        <f t="shared" si="5"/>
        <v>2</v>
      </c>
      <c r="P18" s="238">
        <f t="shared" si="5"/>
        <v>2</v>
      </c>
      <c r="Q18" s="238">
        <f t="shared" si="5"/>
        <v>2</v>
      </c>
      <c r="R18" s="238"/>
      <c r="S18" s="238"/>
      <c r="T18" s="238"/>
      <c r="U18" s="225"/>
      <c r="V18" s="158" t="s">
        <v>72</v>
      </c>
      <c r="W18" s="230">
        <v>45490</v>
      </c>
      <c r="X18" s="161" t="s">
        <v>70</v>
      </c>
      <c r="Y18" s="231">
        <f>W18+4</f>
        <v>45494</v>
      </c>
      <c r="Z18" s="40"/>
      <c r="AA18" s="273">
        <f t="shared" ref="AA18:AA31" si="9">SUM(G18:T18)</f>
        <v>20</v>
      </c>
    </row>
    <row r="19" spans="1:32" ht="15" customHeight="1" x14ac:dyDescent="0.35">
      <c r="A19" s="42"/>
      <c r="B19" s="111"/>
      <c r="C19" s="109"/>
      <c r="D19" s="234"/>
      <c r="E19" s="226"/>
      <c r="F19" s="224"/>
      <c r="G19" s="227">
        <v>2</v>
      </c>
      <c r="H19" s="227">
        <f>H18</f>
        <v>2</v>
      </c>
      <c r="I19" s="227">
        <f>I18</f>
        <v>2</v>
      </c>
      <c r="J19" s="227">
        <f>J18</f>
        <v>2</v>
      </c>
      <c r="K19" s="227">
        <f>10%*K18</f>
        <v>0.2</v>
      </c>
      <c r="L19" s="227">
        <f>L18*95%</f>
        <v>1.9</v>
      </c>
      <c r="M19" s="227"/>
      <c r="N19" s="227"/>
      <c r="O19" s="227"/>
      <c r="P19" s="227"/>
      <c r="Q19" s="227"/>
      <c r="R19" s="227"/>
      <c r="S19" s="227"/>
      <c r="T19" s="227"/>
      <c r="U19" s="228"/>
      <c r="V19" s="158" t="s">
        <v>73</v>
      </c>
      <c r="W19" s="230">
        <f>Y18+1</f>
        <v>45495</v>
      </c>
      <c r="X19" s="161" t="s">
        <v>70</v>
      </c>
      <c r="Y19" s="231">
        <f>Y18+7</f>
        <v>45501</v>
      </c>
      <c r="Z19" s="40"/>
      <c r="AA19" s="273">
        <f t="shared" si="9"/>
        <v>10.1</v>
      </c>
    </row>
    <row r="20" spans="1:32" ht="15" customHeight="1" x14ac:dyDescent="0.35">
      <c r="A20" s="42"/>
      <c r="B20" s="127">
        <v>3</v>
      </c>
      <c r="C20" s="109" t="s">
        <v>90</v>
      </c>
      <c r="D20" s="234">
        <v>20</v>
      </c>
      <c r="E20" s="223">
        <v>20</v>
      </c>
      <c r="F20" s="224"/>
      <c r="G20" s="238"/>
      <c r="H20" s="238"/>
      <c r="I20" s="238"/>
      <c r="J20" s="238"/>
      <c r="K20" s="238">
        <f>D20/8</f>
        <v>2.5</v>
      </c>
      <c r="L20" s="238">
        <f>K20</f>
        <v>2.5</v>
      </c>
      <c r="M20" s="238">
        <f t="shared" ref="M20:N20" si="10">L20</f>
        <v>2.5</v>
      </c>
      <c r="N20" s="238">
        <f t="shared" si="10"/>
        <v>2.5</v>
      </c>
      <c r="O20" s="238">
        <f t="shared" ref="O20:R20" si="11">N20</f>
        <v>2.5</v>
      </c>
      <c r="P20" s="238">
        <f t="shared" si="11"/>
        <v>2.5</v>
      </c>
      <c r="Q20" s="238">
        <f t="shared" si="11"/>
        <v>2.5</v>
      </c>
      <c r="R20" s="238">
        <f t="shared" si="11"/>
        <v>2.5</v>
      </c>
      <c r="S20" s="238"/>
      <c r="T20" s="238"/>
      <c r="U20" s="225"/>
      <c r="V20" s="158" t="s">
        <v>74</v>
      </c>
      <c r="W20" s="230">
        <f>Y19+1</f>
        <v>45502</v>
      </c>
      <c r="X20" s="161" t="s">
        <v>70</v>
      </c>
      <c r="Y20" s="231">
        <f t="shared" ref="Y20:Y32" si="12">Y19+7</f>
        <v>45508</v>
      </c>
      <c r="Z20" s="40"/>
      <c r="AA20" s="273">
        <f t="shared" si="9"/>
        <v>20</v>
      </c>
    </row>
    <row r="21" spans="1:32" ht="15" customHeight="1" x14ac:dyDescent="0.35">
      <c r="A21" s="42"/>
      <c r="B21" s="111"/>
      <c r="C21" s="109"/>
      <c r="D21" s="234"/>
      <c r="E21" s="226"/>
      <c r="F21" s="224"/>
      <c r="G21" s="227">
        <v>2.5</v>
      </c>
      <c r="H21" s="227">
        <f>K20</f>
        <v>2.5</v>
      </c>
      <c r="I21" s="227">
        <f>K20*25%</f>
        <v>0.625</v>
      </c>
      <c r="J21" s="227">
        <f>K20*25%</f>
        <v>0.625</v>
      </c>
      <c r="K21" s="227">
        <f>5%*K20</f>
        <v>0.125</v>
      </c>
      <c r="L21" s="227">
        <f>L20*50%</f>
        <v>1.25</v>
      </c>
      <c r="M21" s="227"/>
      <c r="N21" s="227"/>
      <c r="O21" s="227"/>
      <c r="P21" s="227"/>
      <c r="Q21" s="227"/>
      <c r="R21" s="227"/>
      <c r="S21" s="227"/>
      <c r="T21" s="227"/>
      <c r="U21" s="228"/>
      <c r="V21" s="158" t="s">
        <v>75</v>
      </c>
      <c r="W21" s="230">
        <f t="shared" ref="W21:W30" si="13">Y20+1</f>
        <v>45509</v>
      </c>
      <c r="X21" s="161" t="s">
        <v>70</v>
      </c>
      <c r="Y21" s="231">
        <f t="shared" si="12"/>
        <v>45515</v>
      </c>
      <c r="Z21" s="40"/>
      <c r="AA21" s="273">
        <f t="shared" si="9"/>
        <v>7.625</v>
      </c>
    </row>
    <row r="22" spans="1:32" ht="15" customHeight="1" x14ac:dyDescent="0.35">
      <c r="A22" s="42"/>
      <c r="B22" s="127">
        <v>4</v>
      </c>
      <c r="C22" s="108" t="s">
        <v>87</v>
      </c>
      <c r="D22" s="234">
        <v>20</v>
      </c>
      <c r="E22" s="223">
        <v>20</v>
      </c>
      <c r="F22" s="224"/>
      <c r="G22" s="238">
        <f>E22/14</f>
        <v>1.4285714285714286</v>
      </c>
      <c r="H22" s="238">
        <f>G22</f>
        <v>1.4285714285714286</v>
      </c>
      <c r="I22" s="238">
        <f t="shared" si="5"/>
        <v>1.4285714285714286</v>
      </c>
      <c r="J22" s="238">
        <f t="shared" si="5"/>
        <v>1.4285714285714286</v>
      </c>
      <c r="K22" s="238">
        <f t="shared" si="5"/>
        <v>1.4285714285714286</v>
      </c>
      <c r="L22" s="238">
        <f t="shared" si="5"/>
        <v>1.4285714285714286</v>
      </c>
      <c r="M22" s="238">
        <f t="shared" ref="M22" si="14">L22</f>
        <v>1.4285714285714286</v>
      </c>
      <c r="N22" s="238">
        <f t="shared" ref="N22" si="15">M22</f>
        <v>1.4285714285714286</v>
      </c>
      <c r="O22" s="238">
        <f t="shared" si="5"/>
        <v>1.4285714285714286</v>
      </c>
      <c r="P22" s="238">
        <f t="shared" si="5"/>
        <v>1.4285714285714286</v>
      </c>
      <c r="Q22" s="238">
        <f t="shared" si="5"/>
        <v>1.4285714285714286</v>
      </c>
      <c r="R22" s="238">
        <f t="shared" si="5"/>
        <v>1.4285714285714286</v>
      </c>
      <c r="S22" s="238">
        <f t="shared" si="5"/>
        <v>1.4285714285714286</v>
      </c>
      <c r="T22" s="238">
        <f t="shared" si="5"/>
        <v>1.4285714285714286</v>
      </c>
      <c r="U22" s="225"/>
      <c r="V22" s="158" t="s">
        <v>77</v>
      </c>
      <c r="W22" s="230">
        <f t="shared" si="13"/>
        <v>45516</v>
      </c>
      <c r="X22" s="161" t="s">
        <v>70</v>
      </c>
      <c r="Y22" s="231">
        <f t="shared" si="12"/>
        <v>45522</v>
      </c>
      <c r="Z22" s="40"/>
      <c r="AA22" s="273">
        <f t="shared" si="9"/>
        <v>19.999999999999996</v>
      </c>
      <c r="AF22" s="276"/>
    </row>
    <row r="23" spans="1:32" ht="15" customHeight="1" x14ac:dyDescent="0.35">
      <c r="A23" s="42"/>
      <c r="B23" s="111"/>
      <c r="C23" s="109"/>
      <c r="D23" s="234"/>
      <c r="E23" s="226"/>
      <c r="F23" s="224"/>
      <c r="G23" s="227">
        <v>1.43</v>
      </c>
      <c r="H23" s="227">
        <f>H22</f>
        <v>1.4285714285714286</v>
      </c>
      <c r="I23" s="227">
        <f>I22</f>
        <v>1.4285714285714286</v>
      </c>
      <c r="J23" s="227">
        <f>J22</f>
        <v>1.4285714285714286</v>
      </c>
      <c r="K23" s="227">
        <f>K22</f>
        <v>1.4285714285714286</v>
      </c>
      <c r="L23" s="227">
        <f>L22</f>
        <v>1.4285714285714286</v>
      </c>
      <c r="M23" s="227"/>
      <c r="N23" s="227"/>
      <c r="O23" s="227"/>
      <c r="P23" s="227"/>
      <c r="Q23" s="227"/>
      <c r="R23" s="227"/>
      <c r="S23" s="227"/>
      <c r="T23" s="227"/>
      <c r="U23" s="228"/>
      <c r="V23" s="158" t="s">
        <v>76</v>
      </c>
      <c r="W23" s="230">
        <f t="shared" si="13"/>
        <v>45523</v>
      </c>
      <c r="X23" s="161" t="s">
        <v>70</v>
      </c>
      <c r="Y23" s="231">
        <f t="shared" si="12"/>
        <v>45529</v>
      </c>
      <c r="Z23" s="40"/>
      <c r="AA23" s="273">
        <f t="shared" si="9"/>
        <v>8.5728571428571438</v>
      </c>
    </row>
    <row r="24" spans="1:32" ht="15" customHeight="1" x14ac:dyDescent="0.35">
      <c r="A24" s="42"/>
      <c r="B24" s="127">
        <v>5</v>
      </c>
      <c r="C24" s="108" t="s">
        <v>88</v>
      </c>
      <c r="D24" s="234">
        <v>5</v>
      </c>
      <c r="E24" s="223">
        <v>5</v>
      </c>
      <c r="F24" s="224"/>
      <c r="G24" s="238">
        <f>E24/14</f>
        <v>0.35714285714285715</v>
      </c>
      <c r="H24" s="238">
        <f>G24</f>
        <v>0.35714285714285715</v>
      </c>
      <c r="I24" s="238">
        <f t="shared" si="5"/>
        <v>0.35714285714285715</v>
      </c>
      <c r="J24" s="238">
        <f t="shared" si="5"/>
        <v>0.35714285714285715</v>
      </c>
      <c r="K24" s="238">
        <f t="shared" si="5"/>
        <v>0.35714285714285715</v>
      </c>
      <c r="L24" s="238">
        <f t="shared" si="5"/>
        <v>0.35714285714285715</v>
      </c>
      <c r="M24" s="238">
        <f t="shared" ref="M24" si="16">L24</f>
        <v>0.35714285714285715</v>
      </c>
      <c r="N24" s="238">
        <f t="shared" ref="N24" si="17">M24</f>
        <v>0.35714285714285715</v>
      </c>
      <c r="O24" s="238">
        <f t="shared" si="5"/>
        <v>0.35714285714285715</v>
      </c>
      <c r="P24" s="238">
        <f t="shared" si="5"/>
        <v>0.35714285714285715</v>
      </c>
      <c r="Q24" s="238">
        <f t="shared" si="5"/>
        <v>0.35714285714285715</v>
      </c>
      <c r="R24" s="238">
        <f t="shared" si="5"/>
        <v>0.35714285714285715</v>
      </c>
      <c r="S24" s="238">
        <f t="shared" si="5"/>
        <v>0.35714285714285715</v>
      </c>
      <c r="T24" s="238">
        <f t="shared" si="5"/>
        <v>0.35714285714285715</v>
      </c>
      <c r="U24" s="225"/>
      <c r="V24" s="158" t="s">
        <v>78</v>
      </c>
      <c r="W24" s="230">
        <f t="shared" si="13"/>
        <v>45530</v>
      </c>
      <c r="X24" s="161" t="s">
        <v>70</v>
      </c>
      <c r="Y24" s="231">
        <f t="shared" si="12"/>
        <v>45536</v>
      </c>
      <c r="Z24" s="40"/>
      <c r="AA24" s="273">
        <f t="shared" si="9"/>
        <v>4.9999999999999991</v>
      </c>
    </row>
    <row r="25" spans="1:32" ht="15" customHeight="1" x14ac:dyDescent="0.35">
      <c r="A25" s="42"/>
      <c r="B25" s="111"/>
      <c r="C25" s="109"/>
      <c r="D25" s="234"/>
      <c r="E25" s="226"/>
      <c r="F25" s="224"/>
      <c r="G25" s="227">
        <v>0.36</v>
      </c>
      <c r="H25" s="227">
        <f>H24</f>
        <v>0.35714285714285715</v>
      </c>
      <c r="I25" s="227">
        <f>I24</f>
        <v>0.35714285714285715</v>
      </c>
      <c r="J25" s="227">
        <f>J24</f>
        <v>0.35714285714285715</v>
      </c>
      <c r="K25" s="227">
        <f>K24</f>
        <v>0.35714285714285715</v>
      </c>
      <c r="L25" s="227">
        <f>L24</f>
        <v>0.35714285714285715</v>
      </c>
      <c r="M25" s="227"/>
      <c r="N25" s="227"/>
      <c r="O25" s="227"/>
      <c r="P25" s="227"/>
      <c r="Q25" s="227"/>
      <c r="R25" s="227"/>
      <c r="S25" s="227"/>
      <c r="T25" s="227"/>
      <c r="U25" s="237">
        <v>50</v>
      </c>
      <c r="V25" s="158" t="s">
        <v>76</v>
      </c>
      <c r="W25" s="230">
        <f t="shared" si="13"/>
        <v>45537</v>
      </c>
      <c r="X25" s="161" t="s">
        <v>70</v>
      </c>
      <c r="Y25" s="231">
        <f t="shared" si="12"/>
        <v>45543</v>
      </c>
      <c r="Z25" s="40"/>
      <c r="AA25" s="273">
        <f t="shared" si="9"/>
        <v>2.1457142857142859</v>
      </c>
    </row>
    <row r="26" spans="1:32" ht="15" customHeight="1" x14ac:dyDescent="0.35">
      <c r="A26" s="42"/>
      <c r="B26" s="112" t="s">
        <v>24</v>
      </c>
      <c r="C26" s="110" t="s">
        <v>91</v>
      </c>
      <c r="D26" s="234"/>
      <c r="E26" s="223"/>
      <c r="F26" s="224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158" t="s">
        <v>78</v>
      </c>
      <c r="W26" s="230">
        <f t="shared" si="13"/>
        <v>45544</v>
      </c>
      <c r="X26" s="161" t="s">
        <v>70</v>
      </c>
      <c r="Y26" s="231">
        <f t="shared" si="12"/>
        <v>45550</v>
      </c>
      <c r="Z26" s="40"/>
      <c r="AA26" s="273"/>
    </row>
    <row r="27" spans="1:32" ht="15" customHeight="1" x14ac:dyDescent="0.35">
      <c r="A27" s="42"/>
      <c r="B27" s="127">
        <v>1</v>
      </c>
      <c r="C27" s="109" t="s">
        <v>92</v>
      </c>
      <c r="D27" s="234">
        <v>5</v>
      </c>
      <c r="E27" s="223">
        <v>5</v>
      </c>
      <c r="F27" s="224"/>
      <c r="G27" s="238">
        <f>E27/14</f>
        <v>0.35714285714285715</v>
      </c>
      <c r="H27" s="238">
        <f>G27</f>
        <v>0.35714285714285715</v>
      </c>
      <c r="I27" s="238">
        <f t="shared" ref="I27:T27" si="18">H27</f>
        <v>0.35714285714285715</v>
      </c>
      <c r="J27" s="238">
        <f t="shared" si="18"/>
        <v>0.35714285714285715</v>
      </c>
      <c r="K27" s="238">
        <f t="shared" si="18"/>
        <v>0.35714285714285715</v>
      </c>
      <c r="L27" s="238">
        <f t="shared" si="18"/>
        <v>0.35714285714285715</v>
      </c>
      <c r="M27" s="238">
        <f t="shared" ref="M27" si="19">L27</f>
        <v>0.35714285714285715</v>
      </c>
      <c r="N27" s="238">
        <f t="shared" ref="N27" si="20">M27</f>
        <v>0.35714285714285715</v>
      </c>
      <c r="O27" s="238">
        <f t="shared" si="18"/>
        <v>0.35714285714285715</v>
      </c>
      <c r="P27" s="238">
        <f t="shared" si="18"/>
        <v>0.35714285714285715</v>
      </c>
      <c r="Q27" s="238">
        <f t="shared" si="18"/>
        <v>0.35714285714285715</v>
      </c>
      <c r="R27" s="238">
        <f t="shared" si="18"/>
        <v>0.35714285714285715</v>
      </c>
      <c r="S27" s="238">
        <f t="shared" si="18"/>
        <v>0.35714285714285715</v>
      </c>
      <c r="T27" s="238">
        <f t="shared" si="18"/>
        <v>0.35714285714285715</v>
      </c>
      <c r="U27" s="225"/>
      <c r="V27" s="158" t="s">
        <v>79</v>
      </c>
      <c r="W27" s="230">
        <f t="shared" si="13"/>
        <v>45551</v>
      </c>
      <c r="X27" s="161" t="s">
        <v>70</v>
      </c>
      <c r="Y27" s="231">
        <f t="shared" si="12"/>
        <v>45557</v>
      </c>
      <c r="Z27" s="40"/>
      <c r="AA27" s="273">
        <f t="shared" si="9"/>
        <v>4.9999999999999991</v>
      </c>
    </row>
    <row r="28" spans="1:32" ht="15" customHeight="1" x14ac:dyDescent="0.35">
      <c r="A28" s="42"/>
      <c r="B28" s="127"/>
      <c r="C28" s="108"/>
      <c r="D28" s="234"/>
      <c r="E28" s="223"/>
      <c r="F28" s="224"/>
      <c r="G28" s="227">
        <v>0.36</v>
      </c>
      <c r="H28" s="227">
        <f>H27</f>
        <v>0.35714285714285715</v>
      </c>
      <c r="I28" s="227">
        <f>I27</f>
        <v>0.35714285714285715</v>
      </c>
      <c r="J28" s="227">
        <f>J27</f>
        <v>0.35714285714285715</v>
      </c>
      <c r="K28" s="227">
        <f>K27</f>
        <v>0.35714285714285715</v>
      </c>
      <c r="L28" s="227">
        <f>L27</f>
        <v>0.35714285714285715</v>
      </c>
      <c r="M28" s="227"/>
      <c r="N28" s="227"/>
      <c r="O28" s="225"/>
      <c r="P28" s="225"/>
      <c r="Q28" s="225"/>
      <c r="R28" s="225"/>
      <c r="S28" s="225"/>
      <c r="T28" s="225"/>
      <c r="U28" s="225"/>
      <c r="V28" s="158" t="s">
        <v>80</v>
      </c>
      <c r="W28" s="230">
        <f t="shared" si="13"/>
        <v>45558</v>
      </c>
      <c r="X28" s="161" t="s">
        <v>70</v>
      </c>
      <c r="Y28" s="231">
        <f t="shared" si="12"/>
        <v>45564</v>
      </c>
      <c r="Z28" s="40"/>
      <c r="AA28" s="273">
        <f t="shared" si="9"/>
        <v>2.1457142857142859</v>
      </c>
    </row>
    <row r="29" spans="1:32" ht="15" customHeight="1" x14ac:dyDescent="0.35">
      <c r="A29" s="42"/>
      <c r="B29" s="162" t="s">
        <v>25</v>
      </c>
      <c r="C29" s="107" t="s">
        <v>93</v>
      </c>
      <c r="D29" s="234"/>
      <c r="E29" s="226"/>
      <c r="F29" s="224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8"/>
      <c r="V29" s="158" t="s">
        <v>81</v>
      </c>
      <c r="W29" s="230">
        <f t="shared" si="13"/>
        <v>45565</v>
      </c>
      <c r="X29" s="161" t="s">
        <v>70</v>
      </c>
      <c r="Y29" s="231">
        <f t="shared" si="12"/>
        <v>45571</v>
      </c>
      <c r="Z29" s="40"/>
      <c r="AA29" s="273"/>
    </row>
    <row r="30" spans="1:32" ht="15" customHeight="1" x14ac:dyDescent="0.35">
      <c r="A30" s="42"/>
      <c r="B30" s="127">
        <v>1</v>
      </c>
      <c r="C30" s="108" t="s">
        <v>94</v>
      </c>
      <c r="D30" s="234">
        <v>25</v>
      </c>
      <c r="E30" s="223">
        <v>25</v>
      </c>
      <c r="F30" s="224"/>
      <c r="G30" s="238">
        <f>E30/14</f>
        <v>1.7857142857142858</v>
      </c>
      <c r="H30" s="238">
        <f>G30</f>
        <v>1.7857142857142858</v>
      </c>
      <c r="I30" s="238">
        <f t="shared" ref="I30:T30" si="21">H30</f>
        <v>1.7857142857142858</v>
      </c>
      <c r="J30" s="238">
        <f t="shared" si="21"/>
        <v>1.7857142857142858</v>
      </c>
      <c r="K30" s="238">
        <f t="shared" si="21"/>
        <v>1.7857142857142858</v>
      </c>
      <c r="L30" s="238">
        <f t="shared" si="21"/>
        <v>1.7857142857142858</v>
      </c>
      <c r="M30" s="238">
        <f t="shared" ref="M30" si="22">L30</f>
        <v>1.7857142857142858</v>
      </c>
      <c r="N30" s="238">
        <f t="shared" ref="N30" si="23">M30</f>
        <v>1.7857142857142858</v>
      </c>
      <c r="O30" s="238">
        <f t="shared" si="21"/>
        <v>1.7857142857142858</v>
      </c>
      <c r="P30" s="238">
        <f t="shared" si="21"/>
        <v>1.7857142857142858</v>
      </c>
      <c r="Q30" s="238">
        <f t="shared" si="21"/>
        <v>1.7857142857142858</v>
      </c>
      <c r="R30" s="238">
        <f t="shared" si="21"/>
        <v>1.7857142857142858</v>
      </c>
      <c r="S30" s="238">
        <f t="shared" si="21"/>
        <v>1.7857142857142858</v>
      </c>
      <c r="T30" s="238">
        <f t="shared" si="21"/>
        <v>1.7857142857142858</v>
      </c>
      <c r="U30" s="225"/>
      <c r="V30" s="158" t="s">
        <v>82</v>
      </c>
      <c r="W30" s="230">
        <f t="shared" si="13"/>
        <v>45572</v>
      </c>
      <c r="X30" s="161" t="s">
        <v>70</v>
      </c>
      <c r="Y30" s="231">
        <f t="shared" si="12"/>
        <v>45578</v>
      </c>
      <c r="Z30" s="40"/>
      <c r="AA30" s="273">
        <f t="shared" si="9"/>
        <v>24.999999999999996</v>
      </c>
    </row>
    <row r="31" spans="1:32" ht="15" customHeight="1" x14ac:dyDescent="0.35">
      <c r="A31" s="42"/>
      <c r="B31" s="111"/>
      <c r="C31" s="109"/>
      <c r="D31" s="234"/>
      <c r="E31" s="226"/>
      <c r="F31" s="224"/>
      <c r="G31" s="227">
        <f>G30</f>
        <v>1.7857142857142858</v>
      </c>
      <c r="H31" s="227">
        <f>H30</f>
        <v>1.7857142857142858</v>
      </c>
      <c r="I31" s="227">
        <f>I30*25%</f>
        <v>0.44642857142857145</v>
      </c>
      <c r="J31" s="227">
        <f>J30*25%</f>
        <v>0.44642857142857145</v>
      </c>
      <c r="K31" s="227">
        <f>K30</f>
        <v>1.7857142857142858</v>
      </c>
      <c r="L31" s="227">
        <f>L30</f>
        <v>1.7857142857142858</v>
      </c>
      <c r="M31" s="227"/>
      <c r="N31" s="227"/>
      <c r="O31" s="227"/>
      <c r="P31" s="227"/>
      <c r="Q31" s="227"/>
      <c r="R31" s="227"/>
      <c r="S31" s="227"/>
      <c r="T31" s="227"/>
      <c r="U31" s="228"/>
      <c r="V31" s="158" t="s">
        <v>83</v>
      </c>
      <c r="W31" s="230">
        <f t="shared" ref="W31:W32" si="24">Y30+1</f>
        <v>45579</v>
      </c>
      <c r="X31" s="161" t="s">
        <v>70</v>
      </c>
      <c r="Y31" s="231">
        <f t="shared" si="12"/>
        <v>45585</v>
      </c>
      <c r="Z31" s="40"/>
      <c r="AA31" s="273">
        <f t="shared" si="9"/>
        <v>8.0357142857142865</v>
      </c>
    </row>
    <row r="32" spans="1:32" ht="15" customHeight="1" x14ac:dyDescent="0.35">
      <c r="A32" s="42"/>
      <c r="B32" s="127"/>
      <c r="C32" s="108"/>
      <c r="D32" s="222"/>
      <c r="E32" s="223"/>
      <c r="F32" s="224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158" t="s">
        <v>84</v>
      </c>
      <c r="W32" s="230">
        <f t="shared" si="24"/>
        <v>45586</v>
      </c>
      <c r="X32" s="161" t="s">
        <v>70</v>
      </c>
      <c r="Y32" s="231">
        <f t="shared" si="12"/>
        <v>45592</v>
      </c>
      <c r="Z32" s="40"/>
      <c r="AA32" s="273"/>
    </row>
    <row r="33" spans="1:27" ht="15" customHeight="1" x14ac:dyDescent="0.35">
      <c r="A33" s="42"/>
      <c r="B33" s="111"/>
      <c r="C33" s="109"/>
      <c r="D33" s="229"/>
      <c r="E33" s="226"/>
      <c r="F33" s="224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8"/>
      <c r="V33" s="158" t="s">
        <v>85</v>
      </c>
      <c r="W33" s="230">
        <f>Y32+1</f>
        <v>45593</v>
      </c>
      <c r="X33" s="161" t="s">
        <v>70</v>
      </c>
      <c r="Y33" s="231">
        <f>W33+3</f>
        <v>45596</v>
      </c>
      <c r="Z33" s="40"/>
      <c r="AA33" s="273"/>
    </row>
    <row r="34" spans="1:27" s="94" customFormat="1" x14ac:dyDescent="0.35">
      <c r="A34" s="97"/>
      <c r="B34" s="112"/>
      <c r="C34" s="110"/>
      <c r="D34" s="174"/>
      <c r="E34" s="175"/>
      <c r="F34" s="176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02"/>
      <c r="V34" s="158"/>
      <c r="W34" s="159"/>
      <c r="X34" s="161"/>
      <c r="Y34" s="160"/>
      <c r="Z34" s="98"/>
      <c r="AA34" s="273"/>
    </row>
    <row r="35" spans="1:27" ht="15" customHeight="1" thickBot="1" x14ac:dyDescent="0.4">
      <c r="A35" s="42"/>
      <c r="B35" s="113"/>
      <c r="C35" s="45"/>
      <c r="D35" s="43"/>
      <c r="E35" s="177"/>
      <c r="F35" s="16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44"/>
      <c r="V35" s="156"/>
      <c r="W35" s="157"/>
      <c r="X35" s="157"/>
      <c r="Y35" s="200"/>
      <c r="Z35" s="40"/>
      <c r="AA35" s="273"/>
    </row>
    <row r="36" spans="1:27" ht="15" customHeight="1" thickTop="1" x14ac:dyDescent="0.35">
      <c r="A36" s="42"/>
      <c r="B36" s="46"/>
      <c r="C36" s="47" t="s">
        <v>28</v>
      </c>
      <c r="D36" s="48">
        <f>D30+D27+D24+D22+D20+D18+D16</f>
        <v>100</v>
      </c>
      <c r="E36" s="124"/>
      <c r="F36" s="169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49"/>
      <c r="V36" s="388"/>
      <c r="W36" s="389"/>
      <c r="X36" s="389"/>
      <c r="Y36" s="390"/>
      <c r="Z36" s="40"/>
    </row>
    <row r="37" spans="1:27" ht="15" customHeight="1" x14ac:dyDescent="0.35">
      <c r="A37" s="42"/>
      <c r="B37" s="114"/>
      <c r="C37" s="50" t="s">
        <v>29</v>
      </c>
      <c r="D37" s="51"/>
      <c r="E37" s="171"/>
      <c r="F37" s="172"/>
      <c r="G37" s="99">
        <f>G30+G27+G24+G22+G16+G18+G20</f>
        <v>4.2857142857142856</v>
      </c>
      <c r="H37" s="99">
        <f>H30+H27+H24+H22+H16+H18+H20</f>
        <v>6.2857142857142856</v>
      </c>
      <c r="I37" s="99">
        <f t="shared" ref="I37:T37" si="25">I30+I27+I24+I22+I16+I18+I20</f>
        <v>6.2857142857142856</v>
      </c>
      <c r="J37" s="99">
        <f t="shared" si="25"/>
        <v>6.2857142857142856</v>
      </c>
      <c r="K37" s="99">
        <f t="shared" si="25"/>
        <v>8.7857142857142847</v>
      </c>
      <c r="L37" s="99">
        <f t="shared" si="25"/>
        <v>8.7857142857142847</v>
      </c>
      <c r="M37" s="99">
        <f t="shared" si="25"/>
        <v>8.7857142857142847</v>
      </c>
      <c r="N37" s="99">
        <f t="shared" si="25"/>
        <v>8.7857142857142847</v>
      </c>
      <c r="O37" s="99">
        <f t="shared" si="25"/>
        <v>8.7857142857142847</v>
      </c>
      <c r="P37" s="99">
        <f t="shared" si="25"/>
        <v>8.7857142857142847</v>
      </c>
      <c r="Q37" s="99">
        <f t="shared" si="25"/>
        <v>8.7857142857142847</v>
      </c>
      <c r="R37" s="99">
        <f t="shared" si="25"/>
        <v>6.7857142857142856</v>
      </c>
      <c r="S37" s="99">
        <f t="shared" si="25"/>
        <v>4.2857142857142856</v>
      </c>
      <c r="T37" s="99">
        <f t="shared" si="25"/>
        <v>4.2857142857142856</v>
      </c>
      <c r="U37" s="53"/>
      <c r="V37" s="391"/>
      <c r="W37" s="392"/>
      <c r="X37" s="392"/>
      <c r="Y37" s="393"/>
      <c r="Z37" s="40"/>
    </row>
    <row r="38" spans="1:27" ht="15" customHeight="1" x14ac:dyDescent="0.35">
      <c r="A38" s="42"/>
      <c r="B38" s="115"/>
      <c r="C38" s="52" t="s">
        <v>30</v>
      </c>
      <c r="D38" s="53"/>
      <c r="E38" s="53">
        <v>0</v>
      </c>
      <c r="F38" s="126">
        <v>0</v>
      </c>
      <c r="G38" s="100">
        <f>D38+G37</f>
        <v>4.2857142857142856</v>
      </c>
      <c r="H38" s="100">
        <f>G38+H37</f>
        <v>10.571428571428571</v>
      </c>
      <c r="I38" s="100">
        <f>H38+I37</f>
        <v>16.857142857142858</v>
      </c>
      <c r="J38" s="100">
        <f t="shared" ref="J38" si="26">I38+J37</f>
        <v>23.142857142857142</v>
      </c>
      <c r="K38" s="100">
        <f t="shared" ref="K38" si="27">J38+K37</f>
        <v>31.928571428571427</v>
      </c>
      <c r="L38" s="100">
        <f t="shared" ref="L38" si="28">K38+L37</f>
        <v>40.714285714285708</v>
      </c>
      <c r="M38" s="100">
        <f t="shared" ref="M38" si="29">L38+M37</f>
        <v>49.499999999999993</v>
      </c>
      <c r="N38" s="100">
        <f t="shared" ref="N38" si="30">M38+N37</f>
        <v>58.285714285714278</v>
      </c>
      <c r="O38" s="100">
        <f t="shared" ref="O38" si="31">N38+O37</f>
        <v>67.071428571428555</v>
      </c>
      <c r="P38" s="100">
        <f t="shared" ref="P38" si="32">O38+P37</f>
        <v>75.857142857142833</v>
      </c>
      <c r="Q38" s="100">
        <f t="shared" ref="Q38" si="33">P38+Q37</f>
        <v>84.64285714285711</v>
      </c>
      <c r="R38" s="100">
        <f t="shared" ref="R38" si="34">Q38+R37</f>
        <v>91.428571428571402</v>
      </c>
      <c r="S38" s="100">
        <f t="shared" ref="S38" si="35">R38+S37</f>
        <v>95.714285714285694</v>
      </c>
      <c r="T38" s="100">
        <f t="shared" ref="T38" si="36">S38+T37</f>
        <v>99.999999999999986</v>
      </c>
      <c r="U38" s="53"/>
      <c r="V38" s="391"/>
      <c r="W38" s="392"/>
      <c r="X38" s="392"/>
      <c r="Y38" s="393"/>
      <c r="Z38" s="40"/>
    </row>
    <row r="39" spans="1:27" ht="15" customHeight="1" x14ac:dyDescent="0.35">
      <c r="A39" s="42"/>
      <c r="B39" s="115"/>
      <c r="C39" s="52" t="s">
        <v>31</v>
      </c>
      <c r="D39" s="53"/>
      <c r="E39" s="103"/>
      <c r="F39" s="173"/>
      <c r="G39" s="54">
        <f t="shared" ref="G39:L39" si="37">G31+G28+G25+G23+G21+G19+G17</f>
        <v>8.7928571428571445</v>
      </c>
      <c r="H39" s="54">
        <f t="shared" si="37"/>
        <v>8.7857142857142865</v>
      </c>
      <c r="I39" s="54">
        <f t="shared" si="37"/>
        <v>5.5714285714285712</v>
      </c>
      <c r="J39" s="54">
        <f t="shared" si="37"/>
        <v>5.5714285714285712</v>
      </c>
      <c r="K39" s="54">
        <f t="shared" si="37"/>
        <v>4.6107142857142858</v>
      </c>
      <c r="L39" s="54">
        <f t="shared" si="37"/>
        <v>7.4357142857142859</v>
      </c>
      <c r="M39" s="54"/>
      <c r="N39" s="54"/>
      <c r="O39" s="54"/>
      <c r="P39" s="54"/>
      <c r="Q39" s="54"/>
      <c r="R39" s="54"/>
      <c r="S39" s="54"/>
      <c r="T39" s="54"/>
      <c r="U39" s="53"/>
      <c r="V39" s="391"/>
      <c r="W39" s="392"/>
      <c r="X39" s="392"/>
      <c r="Y39" s="393"/>
      <c r="Z39" s="40"/>
    </row>
    <row r="40" spans="1:27" ht="15" customHeight="1" x14ac:dyDescent="0.35">
      <c r="A40" s="42"/>
      <c r="B40" s="115"/>
      <c r="C40" s="52" t="s">
        <v>32</v>
      </c>
      <c r="D40" s="54"/>
      <c r="E40" s="128">
        <v>0</v>
      </c>
      <c r="F40" s="125">
        <v>0</v>
      </c>
      <c r="G40" s="101">
        <f>G31+G28+G25+G23+G21+G19+G17</f>
        <v>8.7928571428571445</v>
      </c>
      <c r="H40" s="101">
        <f>G40+H39</f>
        <v>17.578571428571429</v>
      </c>
      <c r="I40" s="101">
        <f>H40+I39</f>
        <v>23.15</v>
      </c>
      <c r="J40" s="101">
        <f>I40+J39</f>
        <v>28.721428571428568</v>
      </c>
      <c r="K40" s="101">
        <f>J40+K39</f>
        <v>33.332142857142856</v>
      </c>
      <c r="L40" s="101">
        <f>K40+L39</f>
        <v>40.767857142857139</v>
      </c>
      <c r="M40" s="101"/>
      <c r="N40" s="101"/>
      <c r="O40" s="101"/>
      <c r="P40" s="101"/>
      <c r="Q40" s="101"/>
      <c r="R40" s="101"/>
      <c r="S40" s="101"/>
      <c r="T40" s="101"/>
      <c r="U40" s="55"/>
      <c r="V40" s="391"/>
      <c r="W40" s="392"/>
      <c r="X40" s="392"/>
      <c r="Y40" s="393"/>
      <c r="Z40" s="40"/>
    </row>
    <row r="41" spans="1:27" ht="15" customHeight="1" thickBot="1" x14ac:dyDescent="0.4">
      <c r="A41" s="42"/>
      <c r="B41" s="116"/>
      <c r="C41" s="117" t="s">
        <v>33</v>
      </c>
      <c r="D41" s="179"/>
      <c r="E41" s="179"/>
      <c r="F41" s="180"/>
      <c r="G41" s="181">
        <f>G40-G38</f>
        <v>4.5071428571428589</v>
      </c>
      <c r="H41" s="181">
        <f t="shared" ref="H41" si="38">H40-H38</f>
        <v>7.007142857142858</v>
      </c>
      <c r="I41" s="181">
        <f>I40-I38</f>
        <v>6.2928571428571409</v>
      </c>
      <c r="J41" s="181">
        <f>J40-J38</f>
        <v>5.5785714285714256</v>
      </c>
      <c r="K41" s="181">
        <f>K40-K38</f>
        <v>1.4035714285714285</v>
      </c>
      <c r="L41" s="181">
        <f>L40-L38</f>
        <v>5.3571428571430602E-2</v>
      </c>
      <c r="M41" s="181"/>
      <c r="N41" s="181"/>
      <c r="O41" s="181"/>
      <c r="P41" s="181"/>
      <c r="Q41" s="181"/>
      <c r="R41" s="181"/>
      <c r="S41" s="181"/>
      <c r="T41" s="181"/>
      <c r="U41" s="179"/>
      <c r="V41" s="384"/>
      <c r="W41" s="385"/>
      <c r="X41" s="385"/>
      <c r="Y41" s="386"/>
      <c r="Z41" s="40"/>
    </row>
    <row r="42" spans="1:27" ht="15" customHeight="1" thickTop="1" x14ac:dyDescent="0.35">
      <c r="B42" s="56"/>
      <c r="C42" s="41"/>
      <c r="D42" s="56"/>
      <c r="E42" s="56"/>
      <c r="F42" s="56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6"/>
      <c r="V42" s="56"/>
      <c r="W42" s="56"/>
      <c r="X42" s="56"/>
      <c r="Y42" s="56"/>
    </row>
    <row r="43" spans="1:27" ht="15" customHeight="1" x14ac:dyDescent="0.35"/>
    <row r="44" spans="1:27" ht="15" customHeight="1" x14ac:dyDescent="0.35">
      <c r="C44" s="118" t="s">
        <v>105</v>
      </c>
      <c r="D44" s="119"/>
      <c r="E44" s="119"/>
      <c r="F44" s="119"/>
      <c r="G44" s="120"/>
      <c r="H44" s="118" t="s">
        <v>51</v>
      </c>
      <c r="I44" s="132"/>
      <c r="J44" s="120"/>
      <c r="K44" s="120"/>
      <c r="L44" s="120"/>
      <c r="M44" s="120"/>
      <c r="N44" s="132"/>
      <c r="O44" s="120"/>
      <c r="P44" s="132"/>
      <c r="Q44" s="120"/>
      <c r="R44" s="120"/>
      <c r="S44" s="120"/>
      <c r="T44" s="120"/>
      <c r="U44" s="118" t="s">
        <v>44</v>
      </c>
      <c r="V44" s="387" t="str">
        <f>COVER!I18</f>
        <v>23/8/2026</v>
      </c>
      <c r="W44" s="387"/>
      <c r="X44" s="118"/>
      <c r="Y44" s="118"/>
    </row>
    <row r="45" spans="1:27" ht="15" customHeight="1" x14ac:dyDescent="0.35">
      <c r="C45" s="118" t="s">
        <v>71</v>
      </c>
      <c r="D45" s="119"/>
      <c r="E45" s="119"/>
      <c r="F45" s="119"/>
      <c r="G45" s="120"/>
      <c r="H45" s="118" t="s">
        <v>71</v>
      </c>
      <c r="I45" s="185"/>
      <c r="J45" s="120"/>
      <c r="K45" s="120"/>
      <c r="L45" s="120"/>
      <c r="M45" s="120"/>
      <c r="N45" s="185"/>
      <c r="O45" s="120"/>
      <c r="P45" s="185"/>
      <c r="Q45" s="120"/>
      <c r="R45" s="120"/>
      <c r="S45" s="120"/>
      <c r="T45" s="120"/>
      <c r="U45" s="118" t="s">
        <v>34</v>
      </c>
      <c r="V45" s="120"/>
      <c r="W45" s="120"/>
      <c r="X45" s="120"/>
      <c r="Y45" s="120"/>
    </row>
    <row r="46" spans="1:27" ht="15" customHeight="1" x14ac:dyDescent="0.35">
      <c r="C46" s="121"/>
      <c r="D46" s="121"/>
      <c r="E46" s="119"/>
      <c r="F46" s="119"/>
      <c r="G46" s="120"/>
      <c r="H46" s="121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</row>
    <row r="47" spans="1:27" ht="15" customHeight="1" x14ac:dyDescent="0.35">
      <c r="C47" s="121"/>
      <c r="D47" s="121"/>
      <c r="E47" s="119"/>
      <c r="F47" s="119"/>
      <c r="G47" s="120"/>
      <c r="H47" s="121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</row>
    <row r="48" spans="1:27" ht="15" customHeight="1" x14ac:dyDescent="0.35">
      <c r="C48" s="121"/>
      <c r="D48" s="121"/>
      <c r="E48" s="119"/>
      <c r="F48" s="119"/>
      <c r="G48" s="120"/>
      <c r="H48" s="121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</row>
    <row r="49" spans="2:25" ht="15" customHeight="1" x14ac:dyDescent="0.35">
      <c r="C49" s="121"/>
      <c r="D49" s="121"/>
      <c r="E49" s="119"/>
      <c r="F49" s="119"/>
      <c r="G49" s="120"/>
      <c r="H49" s="121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</row>
    <row r="50" spans="2:25" ht="15" customHeight="1" x14ac:dyDescent="0.35">
      <c r="C50" s="121"/>
      <c r="D50" s="121"/>
      <c r="E50" s="119"/>
      <c r="F50" s="119"/>
      <c r="G50" s="120"/>
      <c r="H50" s="121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</row>
    <row r="51" spans="2:25" ht="15" customHeight="1" x14ac:dyDescent="0.35">
      <c r="C51" s="121"/>
      <c r="D51" s="121"/>
      <c r="E51" s="119"/>
      <c r="F51" s="119"/>
      <c r="G51" s="120"/>
      <c r="H51" s="121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</row>
    <row r="52" spans="2:25" ht="15" customHeight="1" x14ac:dyDescent="0.35">
      <c r="B52" s="58"/>
      <c r="C52" s="186" t="s">
        <v>104</v>
      </c>
      <c r="D52" s="121"/>
      <c r="E52" s="119"/>
      <c r="F52" s="119"/>
      <c r="G52" s="120"/>
      <c r="H52" s="186" t="s">
        <v>106</v>
      </c>
      <c r="I52" s="133"/>
      <c r="J52" s="120"/>
      <c r="K52" s="120"/>
      <c r="L52" s="120"/>
      <c r="M52" s="120"/>
      <c r="N52" s="133"/>
      <c r="O52" s="120"/>
      <c r="P52" s="133"/>
      <c r="Q52" s="120"/>
      <c r="R52" s="120"/>
      <c r="S52" s="120"/>
      <c r="T52" s="120"/>
      <c r="U52" s="122" t="s">
        <v>107</v>
      </c>
      <c r="V52" s="122"/>
      <c r="W52" s="122"/>
      <c r="X52" s="122"/>
      <c r="Y52" s="122"/>
    </row>
    <row r="53" spans="2:25" ht="15" customHeight="1" x14ac:dyDescent="0.35">
      <c r="B53" s="58"/>
      <c r="C53" s="121" t="s">
        <v>102</v>
      </c>
      <c r="D53" s="119"/>
      <c r="E53" s="119"/>
      <c r="F53" s="119"/>
      <c r="G53" s="120"/>
      <c r="H53" s="121" t="s">
        <v>103</v>
      </c>
      <c r="I53" s="132"/>
      <c r="J53" s="120"/>
      <c r="K53" s="120"/>
      <c r="L53" s="120"/>
      <c r="M53" s="120"/>
      <c r="N53" s="132"/>
      <c r="O53" s="120"/>
      <c r="P53" s="132"/>
      <c r="Q53" s="120"/>
      <c r="R53" s="120"/>
      <c r="S53" s="120"/>
      <c r="T53" s="120"/>
      <c r="U53" s="119" t="s">
        <v>35</v>
      </c>
      <c r="V53" s="123"/>
      <c r="W53" s="123"/>
      <c r="X53" s="123"/>
      <c r="Y53" s="123"/>
    </row>
  </sheetData>
  <mergeCells count="25">
    <mergeCell ref="B7:Y7"/>
    <mergeCell ref="B11:B14"/>
    <mergeCell ref="C11:C14"/>
    <mergeCell ref="U11:U14"/>
    <mergeCell ref="G11:R11"/>
    <mergeCell ref="G12:J13"/>
    <mergeCell ref="O12:R13"/>
    <mergeCell ref="K12:N13"/>
    <mergeCell ref="S12:T13"/>
    <mergeCell ref="V8:Y8"/>
    <mergeCell ref="V9:Y9"/>
    <mergeCell ref="V10:Y10"/>
    <mergeCell ref="V11:Y14"/>
    <mergeCell ref="V15:Y15"/>
    <mergeCell ref="V16:Y16"/>
    <mergeCell ref="V17:Y17"/>
    <mergeCell ref="D11:D13"/>
    <mergeCell ref="E11:E13"/>
    <mergeCell ref="V41:Y41"/>
    <mergeCell ref="V44:W44"/>
    <mergeCell ref="V36:Y36"/>
    <mergeCell ref="V37:Y37"/>
    <mergeCell ref="V38:Y38"/>
    <mergeCell ref="V39:Y39"/>
    <mergeCell ref="V40:Y40"/>
  </mergeCells>
  <printOptions horizontalCentered="1"/>
  <pageMargins left="0.19685039370078741" right="0.19685039370078741" top="0.51181102362204722" bottom="0.23622047244094491" header="3.937007874015748E-2" footer="3.937007874015748E-2"/>
  <pageSetup paperSize="9" scale="57" orientation="landscape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3"/>
  <sheetViews>
    <sheetView view="pageBreakPreview" topLeftCell="E4" zoomScaleNormal="40" zoomScaleSheetLayoutView="100" workbookViewId="0">
      <selection activeCell="W8" sqref="W8:Z9"/>
    </sheetView>
  </sheetViews>
  <sheetFormatPr defaultRowHeight="14.5" x14ac:dyDescent="0.35"/>
  <cols>
    <col min="1" max="1" width="3.1796875" customWidth="1"/>
    <col min="2" max="2" width="6.54296875" customWidth="1"/>
    <col min="3" max="3" width="48" customWidth="1"/>
    <col min="4" max="4" width="9" customWidth="1"/>
    <col min="5" max="5" width="7.81640625" customWidth="1"/>
    <col min="6" max="6" width="5.1796875" hidden="1" customWidth="1"/>
    <col min="7" max="20" width="8.7265625" customWidth="1"/>
    <col min="21" max="22" width="8.453125" customWidth="1"/>
    <col min="23" max="23" width="11.453125" customWidth="1"/>
    <col min="24" max="24" width="16.7265625" customWidth="1"/>
    <col min="25" max="25" width="1.7265625" customWidth="1"/>
    <col min="26" max="26" width="16.54296875" customWidth="1"/>
    <col min="27" max="27" width="3.1796875" customWidth="1"/>
    <col min="32" max="32" width="10.26953125" bestFit="1" customWidth="1"/>
    <col min="33" max="33" width="13.81640625" bestFit="1" customWidth="1"/>
    <col min="34" max="34" width="11.26953125" bestFit="1" customWidth="1"/>
  </cols>
  <sheetData>
    <row r="1" spans="1:28" ht="15" customHeight="1" x14ac:dyDescent="0.35"/>
    <row r="2" spans="1:28" ht="15" customHeight="1" x14ac:dyDescent="0.35">
      <c r="U2" s="36"/>
      <c r="V2" s="36"/>
      <c r="W2" s="36"/>
      <c r="X2" s="36"/>
      <c r="Y2" s="36"/>
      <c r="Z2" s="36"/>
    </row>
    <row r="3" spans="1:28" ht="15" customHeight="1" x14ac:dyDescent="0.35">
      <c r="U3" s="36"/>
      <c r="V3" s="36"/>
      <c r="W3" s="36"/>
      <c r="X3" s="36"/>
      <c r="Y3" s="36"/>
      <c r="Z3" s="36"/>
    </row>
    <row r="4" spans="1:28" ht="15" customHeight="1" x14ac:dyDescent="0.35">
      <c r="U4" s="36"/>
      <c r="V4" s="36"/>
      <c r="W4" s="89" t="s">
        <v>34</v>
      </c>
      <c r="X4" s="36"/>
      <c r="Y4" s="36"/>
      <c r="Z4" s="36"/>
    </row>
    <row r="5" spans="1:28" ht="15" customHeight="1" x14ac:dyDescent="0.35">
      <c r="B5" s="37"/>
      <c r="C5" s="38" t="str">
        <f>COVER!$C$11</f>
        <v>Semen Indonesia Foundation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6"/>
      <c r="V5" s="36"/>
      <c r="W5" s="36"/>
      <c r="X5" s="36"/>
      <c r="Y5" s="36"/>
      <c r="Z5" s="36"/>
    </row>
    <row r="6" spans="1:28" ht="15" customHeight="1" thickBot="1" x14ac:dyDescent="0.4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8" ht="20.149999999999999" customHeight="1" thickTop="1" thickBot="1" x14ac:dyDescent="0.4">
      <c r="B7" s="405" t="s">
        <v>19</v>
      </c>
      <c r="C7" s="406"/>
      <c r="D7" s="406"/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7"/>
      <c r="AA7" s="40"/>
    </row>
    <row r="8" spans="1:28" ht="25.15" customHeight="1" thickTop="1" x14ac:dyDescent="0.35">
      <c r="B8" s="202"/>
      <c r="C8" s="182" t="s">
        <v>39</v>
      </c>
      <c r="D8" s="203" t="s">
        <v>3</v>
      </c>
      <c r="E8" s="182" t="str">
        <f>COVER!D14</f>
        <v>PEKERJAAN ASESMENT KAMPUS B UNIVERSITAS  INTERNASIONAL SEMEN INDONESIA</v>
      </c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418" t="s">
        <v>110</v>
      </c>
      <c r="X8" s="418"/>
      <c r="Y8" s="418"/>
      <c r="Z8" s="419"/>
      <c r="AA8" s="40"/>
    </row>
    <row r="9" spans="1:28" ht="25.15" customHeight="1" x14ac:dyDescent="0.35">
      <c r="B9" s="205"/>
      <c r="C9" s="183" t="s">
        <v>95</v>
      </c>
      <c r="D9" s="206" t="s">
        <v>3</v>
      </c>
      <c r="E9" s="183" t="s">
        <v>34</v>
      </c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420" t="s">
        <v>111</v>
      </c>
      <c r="X9" s="420"/>
      <c r="Y9" s="420"/>
      <c r="Z9" s="421"/>
      <c r="AA9" s="40"/>
    </row>
    <row r="10" spans="1:28" ht="25.15" customHeight="1" thickBot="1" x14ac:dyDescent="0.4">
      <c r="B10" s="208"/>
      <c r="C10" s="183" t="s">
        <v>96</v>
      </c>
      <c r="D10" s="209" t="s">
        <v>3</v>
      </c>
      <c r="E10" s="184">
        <f>COVER!L5</f>
        <v>0</v>
      </c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422"/>
      <c r="X10" s="422"/>
      <c r="Y10" s="422"/>
      <c r="Z10" s="423"/>
      <c r="AA10" s="40"/>
    </row>
    <row r="11" spans="1:28" ht="15" customHeight="1" thickTop="1" x14ac:dyDescent="0.35">
      <c r="A11" s="42"/>
      <c r="B11" s="408" t="s">
        <v>17</v>
      </c>
      <c r="C11" s="403" t="s">
        <v>20</v>
      </c>
      <c r="D11" s="403" t="s">
        <v>18</v>
      </c>
      <c r="E11" s="403" t="s">
        <v>22</v>
      </c>
      <c r="F11" s="211"/>
      <c r="G11" s="410">
        <v>2024</v>
      </c>
      <c r="H11" s="410"/>
      <c r="I11" s="410"/>
      <c r="J11" s="410"/>
      <c r="K11" s="410"/>
      <c r="L11" s="410"/>
      <c r="M11" s="410"/>
      <c r="N11" s="410"/>
      <c r="O11" s="410"/>
      <c r="P11" s="410"/>
      <c r="Q11" s="410"/>
      <c r="R11" s="410"/>
      <c r="S11" s="212"/>
      <c r="T11" s="212"/>
      <c r="U11" s="404" t="s">
        <v>7</v>
      </c>
      <c r="V11" s="277"/>
      <c r="W11" s="424" t="s">
        <v>21</v>
      </c>
      <c r="X11" s="425"/>
      <c r="Y11" s="425"/>
      <c r="Z11" s="426"/>
      <c r="AA11" s="40"/>
    </row>
    <row r="12" spans="1:28" ht="15" customHeight="1" x14ac:dyDescent="0.35">
      <c r="A12" s="42"/>
      <c r="B12" s="408"/>
      <c r="C12" s="404"/>
      <c r="D12" s="404"/>
      <c r="E12" s="404"/>
      <c r="F12" s="211"/>
      <c r="G12" s="411" t="s">
        <v>45</v>
      </c>
      <c r="H12" s="411"/>
      <c r="I12" s="411"/>
      <c r="J12" s="411"/>
      <c r="K12" s="412" t="s">
        <v>46</v>
      </c>
      <c r="L12" s="413"/>
      <c r="M12" s="413"/>
      <c r="N12" s="414"/>
      <c r="O12" s="412" t="s">
        <v>48</v>
      </c>
      <c r="P12" s="413"/>
      <c r="Q12" s="413"/>
      <c r="R12" s="414"/>
      <c r="S12" s="411" t="s">
        <v>49</v>
      </c>
      <c r="T12" s="411"/>
      <c r="U12" s="404"/>
      <c r="V12" s="277"/>
      <c r="W12" s="427"/>
      <c r="X12" s="428"/>
      <c r="Y12" s="428"/>
      <c r="Z12" s="429"/>
      <c r="AA12" s="40"/>
    </row>
    <row r="13" spans="1:28" ht="15" customHeight="1" x14ac:dyDescent="0.35">
      <c r="A13" s="42"/>
      <c r="B13" s="408"/>
      <c r="C13" s="404"/>
      <c r="D13" s="404"/>
      <c r="E13" s="404"/>
      <c r="F13" s="213"/>
      <c r="G13" s="411"/>
      <c r="H13" s="411"/>
      <c r="I13" s="411"/>
      <c r="J13" s="411"/>
      <c r="K13" s="415"/>
      <c r="L13" s="416"/>
      <c r="M13" s="416"/>
      <c r="N13" s="417"/>
      <c r="O13" s="415"/>
      <c r="P13" s="416"/>
      <c r="Q13" s="416"/>
      <c r="R13" s="417"/>
      <c r="S13" s="411"/>
      <c r="T13" s="411"/>
      <c r="U13" s="404"/>
      <c r="V13" s="277"/>
      <c r="W13" s="427"/>
      <c r="X13" s="428"/>
      <c r="Y13" s="428"/>
      <c r="Z13" s="429"/>
      <c r="AA13" s="40"/>
    </row>
    <row r="14" spans="1:28" ht="15" customHeight="1" thickBot="1" x14ac:dyDescent="0.4">
      <c r="A14" s="42"/>
      <c r="B14" s="408"/>
      <c r="C14" s="409"/>
      <c r="D14" s="214" t="s">
        <v>26</v>
      </c>
      <c r="E14" s="215" t="s">
        <v>27</v>
      </c>
      <c r="F14" s="215"/>
      <c r="G14" s="216">
        <v>1</v>
      </c>
      <c r="H14" s="216">
        <f t="shared" ref="H14:T14" si="0">G14+1</f>
        <v>2</v>
      </c>
      <c r="I14" s="216">
        <f t="shared" si="0"/>
        <v>3</v>
      </c>
      <c r="J14" s="216">
        <f t="shared" si="0"/>
        <v>4</v>
      </c>
      <c r="K14" s="216">
        <v>5</v>
      </c>
      <c r="L14" s="216">
        <v>6</v>
      </c>
      <c r="M14" s="216">
        <f t="shared" ref="M14:N14" si="1">L14+1</f>
        <v>7</v>
      </c>
      <c r="N14" s="216">
        <f t="shared" si="1"/>
        <v>8</v>
      </c>
      <c r="O14" s="216">
        <v>9</v>
      </c>
      <c r="P14" s="216">
        <f t="shared" si="0"/>
        <v>10</v>
      </c>
      <c r="Q14" s="216">
        <f t="shared" si="0"/>
        <v>11</v>
      </c>
      <c r="R14" s="216">
        <f t="shared" si="0"/>
        <v>12</v>
      </c>
      <c r="S14" s="216">
        <f t="shared" si="0"/>
        <v>13</v>
      </c>
      <c r="T14" s="216">
        <f t="shared" si="0"/>
        <v>14</v>
      </c>
      <c r="U14" s="404"/>
      <c r="V14" s="277"/>
      <c r="W14" s="430"/>
      <c r="X14" s="431"/>
      <c r="Y14" s="431"/>
      <c r="Z14" s="432"/>
      <c r="AA14" s="40"/>
    </row>
    <row r="15" spans="1:28" ht="15" customHeight="1" thickTop="1" x14ac:dyDescent="0.35">
      <c r="A15" s="42"/>
      <c r="B15" s="106" t="s">
        <v>23</v>
      </c>
      <c r="C15" s="107" t="s">
        <v>47</v>
      </c>
      <c r="D15" s="217"/>
      <c r="E15" s="218"/>
      <c r="F15" s="219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1"/>
      <c r="V15" s="278"/>
      <c r="W15" s="394"/>
      <c r="X15" s="395"/>
      <c r="Y15" s="395"/>
      <c r="Z15" s="396"/>
      <c r="AA15" s="40"/>
    </row>
    <row r="16" spans="1:28" ht="15" customHeight="1" x14ac:dyDescent="0.35">
      <c r="A16" s="42"/>
      <c r="B16" s="127">
        <v>1</v>
      </c>
      <c r="C16" s="108" t="s">
        <v>86</v>
      </c>
      <c r="D16" s="234">
        <v>5</v>
      </c>
      <c r="E16" s="223">
        <v>5</v>
      </c>
      <c r="F16" s="224"/>
      <c r="G16" s="238">
        <f>E16/14</f>
        <v>0.35714285714285715</v>
      </c>
      <c r="H16" s="238">
        <f>G16</f>
        <v>0.35714285714285715</v>
      </c>
      <c r="I16" s="238">
        <f t="shared" ref="I16:T24" si="2">H16</f>
        <v>0.35714285714285715</v>
      </c>
      <c r="J16" s="238">
        <f t="shared" si="2"/>
        <v>0.35714285714285715</v>
      </c>
      <c r="K16" s="238">
        <f t="shared" si="2"/>
        <v>0.35714285714285715</v>
      </c>
      <c r="L16" s="238">
        <f t="shared" si="2"/>
        <v>0.35714285714285715</v>
      </c>
      <c r="M16" s="238">
        <f t="shared" si="2"/>
        <v>0.35714285714285715</v>
      </c>
      <c r="N16" s="238">
        <f t="shared" si="2"/>
        <v>0.35714285714285715</v>
      </c>
      <c r="O16" s="238">
        <f t="shared" si="2"/>
        <v>0.35714285714285715</v>
      </c>
      <c r="P16" s="238">
        <f t="shared" si="2"/>
        <v>0.35714285714285715</v>
      </c>
      <c r="Q16" s="238">
        <f t="shared" si="2"/>
        <v>0.35714285714285715</v>
      </c>
      <c r="R16" s="238">
        <f t="shared" si="2"/>
        <v>0.35714285714285715</v>
      </c>
      <c r="S16" s="238">
        <f t="shared" si="2"/>
        <v>0.35714285714285715</v>
      </c>
      <c r="T16" s="238">
        <f t="shared" si="2"/>
        <v>0.35714285714285715</v>
      </c>
      <c r="U16" s="237">
        <v>100</v>
      </c>
      <c r="V16" s="279">
        <f>SUM(G16:T16)</f>
        <v>4.9999999999999991</v>
      </c>
      <c r="W16" s="397" t="s">
        <v>41</v>
      </c>
      <c r="X16" s="398"/>
      <c r="Y16" s="398"/>
      <c r="Z16" s="399"/>
      <c r="AA16" s="40"/>
      <c r="AB16" s="273">
        <f t="shared" ref="AB16:AB25" si="3">SUM(G16:T16)</f>
        <v>4.9999999999999991</v>
      </c>
    </row>
    <row r="17" spans="1:33" ht="15" customHeight="1" x14ac:dyDescent="0.35">
      <c r="A17" s="42"/>
      <c r="B17" s="127"/>
      <c r="C17" s="109"/>
      <c r="D17" s="234"/>
      <c r="E17" s="226"/>
      <c r="F17" s="224"/>
      <c r="G17" s="227">
        <f t="shared" ref="G17:L17" si="4">G16</f>
        <v>0.35714285714285715</v>
      </c>
      <c r="H17" s="227">
        <f t="shared" si="4"/>
        <v>0.35714285714285715</v>
      </c>
      <c r="I17" s="227">
        <f t="shared" si="4"/>
        <v>0.35714285714285715</v>
      </c>
      <c r="J17" s="227">
        <f t="shared" si="4"/>
        <v>0.35714285714285715</v>
      </c>
      <c r="K17" s="227">
        <f t="shared" si="4"/>
        <v>0.35714285714285715</v>
      </c>
      <c r="L17" s="227">
        <f t="shared" si="4"/>
        <v>0.35714285714285715</v>
      </c>
      <c r="M17" s="227">
        <f>M16</f>
        <v>0.35714285714285715</v>
      </c>
      <c r="N17" s="227">
        <f>N16</f>
        <v>0.35714285714285715</v>
      </c>
      <c r="O17" s="227"/>
      <c r="P17" s="227"/>
      <c r="Q17" s="227"/>
      <c r="R17" s="227"/>
      <c r="S17" s="227"/>
      <c r="T17" s="227"/>
      <c r="U17" s="228"/>
      <c r="V17" s="279">
        <f t="shared" ref="V17:V30" si="5">SUM(G17:T17)</f>
        <v>2.8571428571428572</v>
      </c>
      <c r="W17" s="400"/>
      <c r="X17" s="401"/>
      <c r="Y17" s="401"/>
      <c r="Z17" s="402"/>
      <c r="AA17" s="40"/>
      <c r="AB17" s="273">
        <f t="shared" si="3"/>
        <v>2.8571428571428572</v>
      </c>
    </row>
    <row r="18" spans="1:33" ht="15" customHeight="1" x14ac:dyDescent="0.35">
      <c r="A18" s="42"/>
      <c r="B18" s="127">
        <v>2</v>
      </c>
      <c r="C18" s="109" t="s">
        <v>89</v>
      </c>
      <c r="D18" s="234">
        <v>20</v>
      </c>
      <c r="E18" s="223">
        <v>20</v>
      </c>
      <c r="F18" s="224"/>
      <c r="G18" s="238"/>
      <c r="H18" s="238">
        <f>D18/10</f>
        <v>2</v>
      </c>
      <c r="I18" s="238">
        <f>H18</f>
        <v>2</v>
      </c>
      <c r="J18" s="238">
        <f t="shared" si="2"/>
        <v>2</v>
      </c>
      <c r="K18" s="238">
        <f t="shared" si="2"/>
        <v>2</v>
      </c>
      <c r="L18" s="238">
        <f t="shared" si="2"/>
        <v>2</v>
      </c>
      <c r="M18" s="238">
        <f t="shared" si="2"/>
        <v>2</v>
      </c>
      <c r="N18" s="238">
        <f t="shared" si="2"/>
        <v>2</v>
      </c>
      <c r="O18" s="238">
        <f t="shared" si="2"/>
        <v>2</v>
      </c>
      <c r="P18" s="238">
        <f t="shared" si="2"/>
        <v>2</v>
      </c>
      <c r="Q18" s="238">
        <f t="shared" si="2"/>
        <v>2</v>
      </c>
      <c r="R18" s="238"/>
      <c r="S18" s="238"/>
      <c r="T18" s="238"/>
      <c r="U18" s="225"/>
      <c r="V18" s="279">
        <f t="shared" si="5"/>
        <v>20</v>
      </c>
      <c r="W18" s="158" t="s">
        <v>72</v>
      </c>
      <c r="X18" s="230">
        <v>45490</v>
      </c>
      <c r="Y18" s="161" t="s">
        <v>70</v>
      </c>
      <c r="Z18" s="231">
        <f>X18+4</f>
        <v>45494</v>
      </c>
      <c r="AA18" s="40"/>
      <c r="AB18" s="273">
        <f t="shared" si="3"/>
        <v>20</v>
      </c>
    </row>
    <row r="19" spans="1:33" ht="15" customHeight="1" x14ac:dyDescent="0.35">
      <c r="A19" s="42"/>
      <c r="B19" s="111"/>
      <c r="C19" s="109"/>
      <c r="D19" s="234"/>
      <c r="E19" s="226"/>
      <c r="F19" s="224"/>
      <c r="G19" s="227">
        <v>2</v>
      </c>
      <c r="H19" s="227">
        <f>H18</f>
        <v>2</v>
      </c>
      <c r="I19" s="227">
        <f>I18</f>
        <v>2</v>
      </c>
      <c r="J19" s="227">
        <f>J18</f>
        <v>2</v>
      </c>
      <c r="K19" s="227">
        <f>10%*K18</f>
        <v>0.2</v>
      </c>
      <c r="L19" s="227">
        <v>2</v>
      </c>
      <c r="M19" s="227">
        <f>M18</f>
        <v>2</v>
      </c>
      <c r="N19" s="227">
        <f>N18</f>
        <v>2</v>
      </c>
      <c r="O19" s="227"/>
      <c r="P19" s="227"/>
      <c r="Q19" s="227"/>
      <c r="R19" s="227"/>
      <c r="S19" s="227"/>
      <c r="T19" s="227"/>
      <c r="U19" s="228"/>
      <c r="V19" s="279">
        <f t="shared" si="5"/>
        <v>14.2</v>
      </c>
      <c r="W19" s="158" t="s">
        <v>73</v>
      </c>
      <c r="X19" s="230">
        <f>Z18+1</f>
        <v>45495</v>
      </c>
      <c r="Y19" s="161" t="s">
        <v>70</v>
      </c>
      <c r="Z19" s="231">
        <f>Z18+7</f>
        <v>45501</v>
      </c>
      <c r="AA19" s="40"/>
      <c r="AB19" s="273">
        <f t="shared" si="3"/>
        <v>14.2</v>
      </c>
    </row>
    <row r="20" spans="1:33" ht="15" customHeight="1" x14ac:dyDescent="0.35">
      <c r="A20" s="42"/>
      <c r="B20" s="127">
        <v>3</v>
      </c>
      <c r="C20" s="109" t="s">
        <v>90</v>
      </c>
      <c r="D20" s="234">
        <v>20</v>
      </c>
      <c r="E20" s="223">
        <v>20</v>
      </c>
      <c r="F20" s="224"/>
      <c r="G20" s="238"/>
      <c r="H20" s="238"/>
      <c r="I20" s="238"/>
      <c r="J20" s="238"/>
      <c r="K20" s="238">
        <f>D20/8</f>
        <v>2.5</v>
      </c>
      <c r="L20" s="238">
        <f>K20</f>
        <v>2.5</v>
      </c>
      <c r="M20" s="238">
        <f t="shared" ref="M20:R20" si="6">L20</f>
        <v>2.5</v>
      </c>
      <c r="N20" s="238">
        <f t="shared" si="6"/>
        <v>2.5</v>
      </c>
      <c r="O20" s="238">
        <f t="shared" si="6"/>
        <v>2.5</v>
      </c>
      <c r="P20" s="238">
        <f t="shared" si="6"/>
        <v>2.5</v>
      </c>
      <c r="Q20" s="238">
        <f t="shared" si="6"/>
        <v>2.5</v>
      </c>
      <c r="R20" s="238">
        <f t="shared" si="6"/>
        <v>2.5</v>
      </c>
      <c r="S20" s="238"/>
      <c r="T20" s="238"/>
      <c r="U20" s="225"/>
      <c r="V20" s="279">
        <f t="shared" si="5"/>
        <v>20</v>
      </c>
      <c r="W20" s="158" t="s">
        <v>74</v>
      </c>
      <c r="X20" s="230">
        <f>Z19+1</f>
        <v>45502</v>
      </c>
      <c r="Y20" s="161" t="s">
        <v>70</v>
      </c>
      <c r="Z20" s="231">
        <f t="shared" ref="Z20:Z32" si="7">Z19+7</f>
        <v>45508</v>
      </c>
      <c r="AA20" s="40"/>
      <c r="AB20" s="273">
        <f t="shared" si="3"/>
        <v>20</v>
      </c>
    </row>
    <row r="21" spans="1:33" ht="15" customHeight="1" x14ac:dyDescent="0.35">
      <c r="A21" s="42"/>
      <c r="B21" s="111"/>
      <c r="C21" s="109"/>
      <c r="D21" s="234"/>
      <c r="E21" s="226"/>
      <c r="F21" s="224"/>
      <c r="G21" s="227">
        <v>2.5</v>
      </c>
      <c r="H21" s="227">
        <f>K20</f>
        <v>2.5</v>
      </c>
      <c r="I21" s="227">
        <f>K20*25%</f>
        <v>0.625</v>
      </c>
      <c r="J21" s="227">
        <f>K20*25%</f>
        <v>0.625</v>
      </c>
      <c r="K21" s="227">
        <f>5%*K20</f>
        <v>0.125</v>
      </c>
      <c r="L21" s="227">
        <f>L20*45%</f>
        <v>1.125</v>
      </c>
      <c r="M21" s="227">
        <f>M20</f>
        <v>2.5</v>
      </c>
      <c r="N21" s="227">
        <f>N20</f>
        <v>2.5</v>
      </c>
      <c r="O21" s="227"/>
      <c r="P21" s="227"/>
      <c r="Q21" s="227"/>
      <c r="R21" s="227"/>
      <c r="S21" s="227"/>
      <c r="T21" s="227"/>
      <c r="U21" s="228"/>
      <c r="V21" s="279">
        <f t="shared" si="5"/>
        <v>12.5</v>
      </c>
      <c r="W21" s="158" t="s">
        <v>75</v>
      </c>
      <c r="X21" s="230">
        <f t="shared" ref="X21:X32" si="8">Z20+1</f>
        <v>45509</v>
      </c>
      <c r="Y21" s="161" t="s">
        <v>70</v>
      </c>
      <c r="Z21" s="231">
        <f t="shared" si="7"/>
        <v>45515</v>
      </c>
      <c r="AA21" s="40"/>
      <c r="AB21" s="273">
        <f t="shared" si="3"/>
        <v>12.5</v>
      </c>
    </row>
    <row r="22" spans="1:33" ht="15" customHeight="1" x14ac:dyDescent="0.35">
      <c r="A22" s="42"/>
      <c r="B22" s="127">
        <v>4</v>
      </c>
      <c r="C22" s="108" t="s">
        <v>87</v>
      </c>
      <c r="D22" s="234">
        <v>20</v>
      </c>
      <c r="E22" s="223">
        <v>20</v>
      </c>
      <c r="F22" s="224"/>
      <c r="G22" s="238">
        <f>E22/14</f>
        <v>1.4285714285714286</v>
      </c>
      <c r="H22" s="238">
        <f>G22</f>
        <v>1.4285714285714286</v>
      </c>
      <c r="I22" s="238">
        <f t="shared" si="2"/>
        <v>1.4285714285714286</v>
      </c>
      <c r="J22" s="238">
        <f t="shared" si="2"/>
        <v>1.4285714285714286</v>
      </c>
      <c r="K22" s="238">
        <f t="shared" si="2"/>
        <v>1.4285714285714286</v>
      </c>
      <c r="L22" s="238">
        <f t="shared" si="2"/>
        <v>1.4285714285714286</v>
      </c>
      <c r="M22" s="238">
        <f t="shared" si="2"/>
        <v>1.4285714285714286</v>
      </c>
      <c r="N22" s="238">
        <f t="shared" si="2"/>
        <v>1.4285714285714286</v>
      </c>
      <c r="O22" s="238">
        <f t="shared" si="2"/>
        <v>1.4285714285714286</v>
      </c>
      <c r="P22" s="238">
        <f t="shared" si="2"/>
        <v>1.4285714285714286</v>
      </c>
      <c r="Q22" s="238">
        <f t="shared" si="2"/>
        <v>1.4285714285714286</v>
      </c>
      <c r="R22" s="238">
        <f t="shared" si="2"/>
        <v>1.4285714285714286</v>
      </c>
      <c r="S22" s="238">
        <f t="shared" si="2"/>
        <v>1.4285714285714286</v>
      </c>
      <c r="T22" s="238">
        <f t="shared" si="2"/>
        <v>1.4285714285714286</v>
      </c>
      <c r="U22" s="225"/>
      <c r="V22" s="279">
        <f t="shared" si="5"/>
        <v>19.999999999999996</v>
      </c>
      <c r="W22" s="158" t="s">
        <v>77</v>
      </c>
      <c r="X22" s="230">
        <f t="shared" si="8"/>
        <v>45516</v>
      </c>
      <c r="Y22" s="161" t="s">
        <v>70</v>
      </c>
      <c r="Z22" s="231">
        <f t="shared" si="7"/>
        <v>45522</v>
      </c>
      <c r="AA22" s="40"/>
      <c r="AB22" s="273">
        <f t="shared" si="3"/>
        <v>19.999999999999996</v>
      </c>
      <c r="AG22" s="276"/>
    </row>
    <row r="23" spans="1:33" ht="15" customHeight="1" x14ac:dyDescent="0.35">
      <c r="A23" s="42"/>
      <c r="B23" s="111"/>
      <c r="C23" s="109"/>
      <c r="D23" s="234"/>
      <c r="E23" s="226"/>
      <c r="F23" s="224"/>
      <c r="G23" s="227">
        <v>1.43</v>
      </c>
      <c r="H23" s="227">
        <f t="shared" ref="H23:M23" si="9">H22</f>
        <v>1.4285714285714286</v>
      </c>
      <c r="I23" s="227">
        <f t="shared" si="9"/>
        <v>1.4285714285714286</v>
      </c>
      <c r="J23" s="227">
        <f t="shared" si="9"/>
        <v>1.4285714285714286</v>
      </c>
      <c r="K23" s="227">
        <f t="shared" si="9"/>
        <v>1.4285714285714286</v>
      </c>
      <c r="L23" s="227">
        <f t="shared" si="9"/>
        <v>1.4285714285714286</v>
      </c>
      <c r="M23" s="227">
        <f t="shared" si="9"/>
        <v>1.4285714285714286</v>
      </c>
      <c r="N23" s="227">
        <f>N22</f>
        <v>1.4285714285714286</v>
      </c>
      <c r="O23" s="227"/>
      <c r="P23" s="227"/>
      <c r="Q23" s="227"/>
      <c r="R23" s="227"/>
      <c r="S23" s="227"/>
      <c r="T23" s="227"/>
      <c r="U23" s="228"/>
      <c r="V23" s="279">
        <f t="shared" si="5"/>
        <v>11.430000000000001</v>
      </c>
      <c r="W23" s="158" t="s">
        <v>76</v>
      </c>
      <c r="X23" s="230">
        <f t="shared" si="8"/>
        <v>45523</v>
      </c>
      <c r="Y23" s="161" t="s">
        <v>70</v>
      </c>
      <c r="Z23" s="231">
        <f t="shared" si="7"/>
        <v>45529</v>
      </c>
      <c r="AA23" s="40"/>
      <c r="AB23" s="273">
        <f t="shared" si="3"/>
        <v>11.430000000000001</v>
      </c>
    </row>
    <row r="24" spans="1:33" ht="15" customHeight="1" x14ac:dyDescent="0.35">
      <c r="A24" s="42"/>
      <c r="B24" s="127">
        <v>5</v>
      </c>
      <c r="C24" s="108" t="s">
        <v>88</v>
      </c>
      <c r="D24" s="234">
        <v>5</v>
      </c>
      <c r="E24" s="223">
        <v>5</v>
      </c>
      <c r="F24" s="224"/>
      <c r="G24" s="238">
        <f>E24/14</f>
        <v>0.35714285714285715</v>
      </c>
      <c r="H24" s="238">
        <f>G24</f>
        <v>0.35714285714285715</v>
      </c>
      <c r="I24" s="238">
        <f t="shared" si="2"/>
        <v>0.35714285714285715</v>
      </c>
      <c r="J24" s="238">
        <f t="shared" si="2"/>
        <v>0.35714285714285715</v>
      </c>
      <c r="K24" s="238">
        <f t="shared" si="2"/>
        <v>0.35714285714285715</v>
      </c>
      <c r="L24" s="238">
        <f t="shared" si="2"/>
        <v>0.35714285714285715</v>
      </c>
      <c r="M24" s="238">
        <f t="shared" si="2"/>
        <v>0.35714285714285715</v>
      </c>
      <c r="N24" s="238">
        <f t="shared" si="2"/>
        <v>0.35714285714285715</v>
      </c>
      <c r="O24" s="238">
        <f t="shared" si="2"/>
        <v>0.35714285714285715</v>
      </c>
      <c r="P24" s="238">
        <f t="shared" si="2"/>
        <v>0.35714285714285715</v>
      </c>
      <c r="Q24" s="238">
        <f t="shared" si="2"/>
        <v>0.35714285714285715</v>
      </c>
      <c r="R24" s="238">
        <f t="shared" si="2"/>
        <v>0.35714285714285715</v>
      </c>
      <c r="S24" s="238">
        <f t="shared" si="2"/>
        <v>0.35714285714285715</v>
      </c>
      <c r="T24" s="238">
        <f t="shared" si="2"/>
        <v>0.35714285714285715</v>
      </c>
      <c r="U24" s="225"/>
      <c r="V24" s="279">
        <f t="shared" si="5"/>
        <v>4.9999999999999991</v>
      </c>
      <c r="W24" s="158" t="s">
        <v>78</v>
      </c>
      <c r="X24" s="230">
        <f t="shared" si="8"/>
        <v>45530</v>
      </c>
      <c r="Y24" s="161" t="s">
        <v>70</v>
      </c>
      <c r="Z24" s="231">
        <f t="shared" si="7"/>
        <v>45536</v>
      </c>
      <c r="AA24" s="40"/>
      <c r="AB24" s="273">
        <f t="shared" si="3"/>
        <v>4.9999999999999991</v>
      </c>
    </row>
    <row r="25" spans="1:33" ht="15" customHeight="1" x14ac:dyDescent="0.35">
      <c r="A25" s="42"/>
      <c r="B25" s="111"/>
      <c r="C25" s="109"/>
      <c r="D25" s="234"/>
      <c r="E25" s="226"/>
      <c r="F25" s="224"/>
      <c r="G25" s="227">
        <v>0.36</v>
      </c>
      <c r="H25" s="227">
        <f t="shared" ref="H25:M25" si="10">H24</f>
        <v>0.35714285714285715</v>
      </c>
      <c r="I25" s="227">
        <f t="shared" si="10"/>
        <v>0.35714285714285715</v>
      </c>
      <c r="J25" s="227">
        <f t="shared" si="10"/>
        <v>0.35714285714285715</v>
      </c>
      <c r="K25" s="227">
        <f t="shared" si="10"/>
        <v>0.35714285714285715</v>
      </c>
      <c r="L25" s="227">
        <f t="shared" si="10"/>
        <v>0.35714285714285715</v>
      </c>
      <c r="M25" s="227">
        <f t="shared" si="10"/>
        <v>0.35714285714285715</v>
      </c>
      <c r="N25" s="227">
        <f>N24</f>
        <v>0.35714285714285715</v>
      </c>
      <c r="O25" s="227"/>
      <c r="P25" s="227"/>
      <c r="Q25" s="227"/>
      <c r="R25" s="227"/>
      <c r="S25" s="227"/>
      <c r="T25" s="227"/>
      <c r="U25" s="237">
        <v>50</v>
      </c>
      <c r="V25" s="279">
        <f t="shared" si="5"/>
        <v>2.8600000000000003</v>
      </c>
      <c r="W25" s="158" t="s">
        <v>79</v>
      </c>
      <c r="X25" s="230">
        <f t="shared" si="8"/>
        <v>45537</v>
      </c>
      <c r="Y25" s="161" t="s">
        <v>70</v>
      </c>
      <c r="Z25" s="231">
        <f t="shared" si="7"/>
        <v>45543</v>
      </c>
      <c r="AA25" s="40"/>
      <c r="AB25" s="273">
        <f t="shared" si="3"/>
        <v>2.8600000000000003</v>
      </c>
    </row>
    <row r="26" spans="1:33" ht="15" customHeight="1" x14ac:dyDescent="0.35">
      <c r="A26" s="42"/>
      <c r="B26" s="112" t="s">
        <v>24</v>
      </c>
      <c r="C26" s="110" t="s">
        <v>91</v>
      </c>
      <c r="D26" s="234"/>
      <c r="E26" s="223"/>
      <c r="F26" s="224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79"/>
      <c r="W26" s="158" t="s">
        <v>80</v>
      </c>
      <c r="X26" s="230">
        <f t="shared" si="8"/>
        <v>45544</v>
      </c>
      <c r="Y26" s="161" t="s">
        <v>70</v>
      </c>
      <c r="Z26" s="231">
        <f t="shared" si="7"/>
        <v>45550</v>
      </c>
      <c r="AA26" s="40"/>
      <c r="AB26" s="273"/>
    </row>
    <row r="27" spans="1:33" ht="15" customHeight="1" x14ac:dyDescent="0.35">
      <c r="A27" s="42"/>
      <c r="B27" s="127">
        <v>1</v>
      </c>
      <c r="C27" s="109" t="s">
        <v>92</v>
      </c>
      <c r="D27" s="234">
        <v>5</v>
      </c>
      <c r="E27" s="223">
        <v>5</v>
      </c>
      <c r="F27" s="224"/>
      <c r="G27" s="238">
        <f>E27/14</f>
        <v>0.35714285714285715</v>
      </c>
      <c r="H27" s="238">
        <f>G27</f>
        <v>0.35714285714285715</v>
      </c>
      <c r="I27" s="238">
        <f t="shared" ref="I27:T27" si="11">H27</f>
        <v>0.35714285714285715</v>
      </c>
      <c r="J27" s="238">
        <f t="shared" si="11"/>
        <v>0.35714285714285715</v>
      </c>
      <c r="K27" s="238">
        <f t="shared" si="11"/>
        <v>0.35714285714285715</v>
      </c>
      <c r="L27" s="238">
        <f t="shared" si="11"/>
        <v>0.35714285714285715</v>
      </c>
      <c r="M27" s="238">
        <f t="shared" si="11"/>
        <v>0.35714285714285715</v>
      </c>
      <c r="N27" s="238">
        <f t="shared" si="11"/>
        <v>0.35714285714285715</v>
      </c>
      <c r="O27" s="238">
        <f t="shared" si="11"/>
        <v>0.35714285714285715</v>
      </c>
      <c r="P27" s="238">
        <f t="shared" si="11"/>
        <v>0.35714285714285715</v>
      </c>
      <c r="Q27" s="238">
        <f t="shared" si="11"/>
        <v>0.35714285714285715</v>
      </c>
      <c r="R27" s="238">
        <f t="shared" si="11"/>
        <v>0.35714285714285715</v>
      </c>
      <c r="S27" s="238">
        <f t="shared" si="11"/>
        <v>0.35714285714285715</v>
      </c>
      <c r="T27" s="238">
        <f t="shared" si="11"/>
        <v>0.35714285714285715</v>
      </c>
      <c r="U27" s="225"/>
      <c r="V27" s="279">
        <f t="shared" si="5"/>
        <v>4.9999999999999991</v>
      </c>
      <c r="W27" s="158" t="s">
        <v>81</v>
      </c>
      <c r="X27" s="230">
        <f t="shared" si="8"/>
        <v>45551</v>
      </c>
      <c r="Y27" s="161" t="s">
        <v>70</v>
      </c>
      <c r="Z27" s="231">
        <f t="shared" si="7"/>
        <v>45557</v>
      </c>
      <c r="AA27" s="40"/>
      <c r="AB27" s="273">
        <f>SUM(G27:T27)</f>
        <v>4.9999999999999991</v>
      </c>
    </row>
    <row r="28" spans="1:33" ht="15" customHeight="1" x14ac:dyDescent="0.35">
      <c r="A28" s="42"/>
      <c r="B28" s="127"/>
      <c r="C28" s="108"/>
      <c r="D28" s="234"/>
      <c r="E28" s="223"/>
      <c r="F28" s="224"/>
      <c r="G28" s="227">
        <v>0.36</v>
      </c>
      <c r="H28" s="227">
        <f t="shared" ref="H28:M28" si="12">H27</f>
        <v>0.35714285714285715</v>
      </c>
      <c r="I28" s="227">
        <f t="shared" si="12"/>
        <v>0.35714285714285715</v>
      </c>
      <c r="J28" s="227">
        <f t="shared" si="12"/>
        <v>0.35714285714285715</v>
      </c>
      <c r="K28" s="227">
        <f t="shared" si="12"/>
        <v>0.35714285714285715</v>
      </c>
      <c r="L28" s="227">
        <f t="shared" si="12"/>
        <v>0.35714285714285715</v>
      </c>
      <c r="M28" s="227">
        <f t="shared" si="12"/>
        <v>0.35714285714285715</v>
      </c>
      <c r="N28" s="227">
        <f>N27</f>
        <v>0.35714285714285715</v>
      </c>
      <c r="O28" s="227"/>
      <c r="P28" s="227"/>
      <c r="Q28" s="227"/>
      <c r="R28" s="227"/>
      <c r="S28" s="227"/>
      <c r="T28" s="227"/>
      <c r="U28" s="225"/>
      <c r="V28" s="279">
        <f t="shared" si="5"/>
        <v>2.8600000000000003</v>
      </c>
      <c r="W28" s="158" t="s">
        <v>82</v>
      </c>
      <c r="X28" s="230">
        <f t="shared" si="8"/>
        <v>45558</v>
      </c>
      <c r="Y28" s="161" t="s">
        <v>70</v>
      </c>
      <c r="Z28" s="231">
        <f t="shared" si="7"/>
        <v>45564</v>
      </c>
      <c r="AA28" s="40"/>
      <c r="AB28" s="273">
        <f>SUM(G28:T28)</f>
        <v>2.8600000000000003</v>
      </c>
    </row>
    <row r="29" spans="1:33" ht="15" customHeight="1" x14ac:dyDescent="0.35">
      <c r="A29" s="42"/>
      <c r="B29" s="162" t="s">
        <v>25</v>
      </c>
      <c r="C29" s="107" t="s">
        <v>93</v>
      </c>
      <c r="D29" s="234"/>
      <c r="E29" s="226"/>
      <c r="F29" s="224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8"/>
      <c r="V29" s="279"/>
      <c r="W29" s="158" t="s">
        <v>83</v>
      </c>
      <c r="X29" s="230">
        <f t="shared" si="8"/>
        <v>45565</v>
      </c>
      <c r="Y29" s="161" t="s">
        <v>70</v>
      </c>
      <c r="Z29" s="231">
        <f t="shared" si="7"/>
        <v>45571</v>
      </c>
      <c r="AA29" s="40"/>
      <c r="AB29" s="273"/>
    </row>
    <row r="30" spans="1:33" ht="15" customHeight="1" x14ac:dyDescent="0.35">
      <c r="A30" s="42"/>
      <c r="B30" s="127">
        <v>1</v>
      </c>
      <c r="C30" s="108" t="s">
        <v>94</v>
      </c>
      <c r="D30" s="234">
        <v>25</v>
      </c>
      <c r="E30" s="223">
        <v>25</v>
      </c>
      <c r="F30" s="224"/>
      <c r="G30" s="238">
        <f>E30/14</f>
        <v>1.7857142857142858</v>
      </c>
      <c r="H30" s="238">
        <f>G30</f>
        <v>1.7857142857142858</v>
      </c>
      <c r="I30" s="238">
        <f t="shared" ref="I30:T30" si="13">H30</f>
        <v>1.7857142857142858</v>
      </c>
      <c r="J30" s="238">
        <f t="shared" si="13"/>
        <v>1.7857142857142858</v>
      </c>
      <c r="K30" s="238">
        <f t="shared" si="13"/>
        <v>1.7857142857142858</v>
      </c>
      <c r="L30" s="238">
        <f t="shared" si="13"/>
        <v>1.7857142857142858</v>
      </c>
      <c r="M30" s="238">
        <f t="shared" si="13"/>
        <v>1.7857142857142858</v>
      </c>
      <c r="N30" s="238">
        <f t="shared" si="13"/>
        <v>1.7857142857142858</v>
      </c>
      <c r="O30" s="238">
        <f t="shared" si="13"/>
        <v>1.7857142857142858</v>
      </c>
      <c r="P30" s="238">
        <f t="shared" si="13"/>
        <v>1.7857142857142858</v>
      </c>
      <c r="Q30" s="238">
        <f t="shared" si="13"/>
        <v>1.7857142857142858</v>
      </c>
      <c r="R30" s="238">
        <f t="shared" si="13"/>
        <v>1.7857142857142858</v>
      </c>
      <c r="S30" s="238">
        <f t="shared" si="13"/>
        <v>1.7857142857142858</v>
      </c>
      <c r="T30" s="238">
        <f t="shared" si="13"/>
        <v>1.7857142857142858</v>
      </c>
      <c r="U30" s="225"/>
      <c r="V30" s="279">
        <f t="shared" si="5"/>
        <v>24.999999999999996</v>
      </c>
      <c r="W30" s="158" t="s">
        <v>84</v>
      </c>
      <c r="X30" s="230">
        <f t="shared" si="8"/>
        <v>45572</v>
      </c>
      <c r="Y30" s="161" t="s">
        <v>70</v>
      </c>
      <c r="Z30" s="231">
        <f t="shared" si="7"/>
        <v>45578</v>
      </c>
      <c r="AA30" s="40"/>
      <c r="AB30" s="273">
        <f>SUM(G30:T30)</f>
        <v>24.999999999999996</v>
      </c>
    </row>
    <row r="31" spans="1:33" ht="15" customHeight="1" x14ac:dyDescent="0.35">
      <c r="A31" s="42"/>
      <c r="B31" s="111"/>
      <c r="C31" s="109"/>
      <c r="D31" s="234"/>
      <c r="E31" s="226"/>
      <c r="F31" s="224"/>
      <c r="G31" s="227">
        <f>G30</f>
        <v>1.7857142857142858</v>
      </c>
      <c r="H31" s="227">
        <f>H30</f>
        <v>1.7857142857142858</v>
      </c>
      <c r="I31" s="227">
        <f>I30*25%</f>
        <v>0.44642857142857145</v>
      </c>
      <c r="J31" s="227">
        <f>J30*25%</f>
        <v>0.44642857142857145</v>
      </c>
      <c r="K31" s="227">
        <f>K30</f>
        <v>1.7857142857142858</v>
      </c>
      <c r="L31" s="227">
        <f>L30</f>
        <v>1.7857142857142858</v>
      </c>
      <c r="M31" s="227">
        <f>M30</f>
        <v>1.7857142857142858</v>
      </c>
      <c r="N31" s="227">
        <f>N30</f>
        <v>1.7857142857142858</v>
      </c>
      <c r="O31" s="227"/>
      <c r="P31" s="227"/>
      <c r="Q31" s="227"/>
      <c r="R31" s="227"/>
      <c r="S31" s="227"/>
      <c r="T31" s="227"/>
      <c r="U31" s="228"/>
      <c r="V31" s="279">
        <f>SUM(G31:T31)</f>
        <v>11.607142857142859</v>
      </c>
      <c r="W31" s="158" t="s">
        <v>85</v>
      </c>
      <c r="X31" s="230">
        <f t="shared" si="8"/>
        <v>45579</v>
      </c>
      <c r="Y31" s="161" t="s">
        <v>70</v>
      </c>
      <c r="Z31" s="231">
        <f t="shared" si="7"/>
        <v>45585</v>
      </c>
      <c r="AA31" s="40"/>
      <c r="AB31" s="273">
        <f>SUM(G31:T31)</f>
        <v>11.607142857142859</v>
      </c>
    </row>
    <row r="32" spans="1:33" ht="15" customHeight="1" x14ac:dyDescent="0.35">
      <c r="A32" s="42"/>
      <c r="B32" s="127"/>
      <c r="C32" s="108"/>
      <c r="D32" s="222"/>
      <c r="E32" s="223"/>
      <c r="F32" s="224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80"/>
      <c r="W32" s="158" t="s">
        <v>112</v>
      </c>
      <c r="X32" s="230">
        <f t="shared" si="8"/>
        <v>45586</v>
      </c>
      <c r="Y32" s="161" t="s">
        <v>70</v>
      </c>
      <c r="Z32" s="231">
        <f t="shared" si="7"/>
        <v>45592</v>
      </c>
      <c r="AA32" s="40"/>
      <c r="AB32" s="273"/>
    </row>
    <row r="33" spans="1:28" ht="15" customHeight="1" x14ac:dyDescent="0.35">
      <c r="A33" s="42"/>
      <c r="B33" s="111"/>
      <c r="C33" s="109"/>
      <c r="D33" s="229"/>
      <c r="E33" s="226"/>
      <c r="F33" s="224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8"/>
      <c r="V33" s="281"/>
      <c r="W33" s="158" t="s">
        <v>113</v>
      </c>
      <c r="X33" s="230">
        <f>Z32+1</f>
        <v>45593</v>
      </c>
      <c r="Y33" s="161" t="s">
        <v>70</v>
      </c>
      <c r="Z33" s="231">
        <f>X33+3</f>
        <v>45596</v>
      </c>
      <c r="AA33" s="40"/>
      <c r="AB33" s="273"/>
    </row>
    <row r="34" spans="1:28" s="94" customFormat="1" x14ac:dyDescent="0.35">
      <c r="A34" s="97"/>
      <c r="B34" s="112"/>
      <c r="C34" s="110"/>
      <c r="D34" s="174"/>
      <c r="E34" s="175"/>
      <c r="F34" s="176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02"/>
      <c r="V34" s="282"/>
      <c r="W34" s="158"/>
      <c r="X34" s="159"/>
      <c r="Y34" s="161"/>
      <c r="Z34" s="160"/>
      <c r="AA34" s="98"/>
      <c r="AB34" s="273"/>
    </row>
    <row r="35" spans="1:28" ht="15" customHeight="1" thickBot="1" x14ac:dyDescent="0.4">
      <c r="A35" s="42"/>
      <c r="B35" s="113"/>
      <c r="C35" s="45"/>
      <c r="D35" s="43"/>
      <c r="E35" s="177"/>
      <c r="F35" s="16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44"/>
      <c r="V35" s="283"/>
      <c r="W35" s="156"/>
      <c r="X35" s="157"/>
      <c r="Y35" s="157"/>
      <c r="Z35" s="200"/>
      <c r="AA35" s="40"/>
      <c r="AB35" s="273"/>
    </row>
    <row r="36" spans="1:28" ht="15" customHeight="1" thickTop="1" x14ac:dyDescent="0.35">
      <c r="A36" s="42"/>
      <c r="B36" s="46"/>
      <c r="C36" s="47" t="s">
        <v>28</v>
      </c>
      <c r="D36" s="48">
        <f>D30+D27+D24+D22+D20+D18+D16</f>
        <v>100</v>
      </c>
      <c r="E36" s="124"/>
      <c r="F36" s="169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49"/>
      <c r="V36" s="284"/>
      <c r="W36" s="388"/>
      <c r="X36" s="389"/>
      <c r="Y36" s="389"/>
      <c r="Z36" s="390"/>
      <c r="AA36" s="40"/>
    </row>
    <row r="37" spans="1:28" ht="15" customHeight="1" x14ac:dyDescent="0.35">
      <c r="A37" s="42"/>
      <c r="B37" s="114"/>
      <c r="C37" s="50" t="s">
        <v>29</v>
      </c>
      <c r="D37" s="51"/>
      <c r="E37" s="171"/>
      <c r="F37" s="172"/>
      <c r="G37" s="99">
        <f>G30+G27+G24+G22+G16+G18+G20</f>
        <v>4.2857142857142856</v>
      </c>
      <c r="H37" s="99">
        <f>H30+H27+H24+H22+H16+H18+H20</f>
        <v>6.2857142857142856</v>
      </c>
      <c r="I37" s="99">
        <f t="shared" ref="I37:T37" si="14">I30+I27+I24+I22+I16+I18+I20</f>
        <v>6.2857142857142856</v>
      </c>
      <c r="J37" s="99">
        <f t="shared" si="14"/>
        <v>6.2857142857142856</v>
      </c>
      <c r="K37" s="99">
        <f t="shared" si="14"/>
        <v>8.7857142857142847</v>
      </c>
      <c r="L37" s="99">
        <f t="shared" si="14"/>
        <v>8.7857142857142847</v>
      </c>
      <c r="M37" s="99">
        <f t="shared" si="14"/>
        <v>8.7857142857142847</v>
      </c>
      <c r="N37" s="99">
        <f t="shared" si="14"/>
        <v>8.7857142857142847</v>
      </c>
      <c r="O37" s="99">
        <f t="shared" si="14"/>
        <v>8.7857142857142847</v>
      </c>
      <c r="P37" s="99">
        <f t="shared" si="14"/>
        <v>8.7857142857142847</v>
      </c>
      <c r="Q37" s="99">
        <f t="shared" si="14"/>
        <v>8.7857142857142847</v>
      </c>
      <c r="R37" s="99">
        <f t="shared" si="14"/>
        <v>6.7857142857142856</v>
      </c>
      <c r="S37" s="99">
        <f t="shared" si="14"/>
        <v>4.2857142857142856</v>
      </c>
      <c r="T37" s="99">
        <f t="shared" si="14"/>
        <v>4.2857142857142856</v>
      </c>
      <c r="U37" s="53"/>
      <c r="V37" s="285"/>
      <c r="W37" s="391"/>
      <c r="X37" s="392"/>
      <c r="Y37" s="392"/>
      <c r="Z37" s="393"/>
      <c r="AA37" s="40"/>
    </row>
    <row r="38" spans="1:28" ht="15" customHeight="1" x14ac:dyDescent="0.35">
      <c r="A38" s="42"/>
      <c r="B38" s="115"/>
      <c r="C38" s="52" t="s">
        <v>30</v>
      </c>
      <c r="D38" s="53"/>
      <c r="E38" s="53">
        <v>0</v>
      </c>
      <c r="F38" s="126">
        <v>0</v>
      </c>
      <c r="G38" s="100">
        <f>D38+G37</f>
        <v>4.2857142857142856</v>
      </c>
      <c r="H38" s="100">
        <f>G38+H37</f>
        <v>10.571428571428571</v>
      </c>
      <c r="I38" s="100">
        <f>H38+I37</f>
        <v>16.857142857142858</v>
      </c>
      <c r="J38" s="100">
        <f t="shared" ref="J38:T38" si="15">I38+J37</f>
        <v>23.142857142857142</v>
      </c>
      <c r="K38" s="100">
        <f t="shared" si="15"/>
        <v>31.928571428571427</v>
      </c>
      <c r="L38" s="100">
        <f t="shared" si="15"/>
        <v>40.714285714285708</v>
      </c>
      <c r="M38" s="100">
        <f t="shared" si="15"/>
        <v>49.499999999999993</v>
      </c>
      <c r="N38" s="100">
        <f t="shared" si="15"/>
        <v>58.285714285714278</v>
      </c>
      <c r="O38" s="100">
        <f t="shared" si="15"/>
        <v>67.071428571428555</v>
      </c>
      <c r="P38" s="100">
        <f t="shared" si="15"/>
        <v>75.857142857142833</v>
      </c>
      <c r="Q38" s="100">
        <f t="shared" si="15"/>
        <v>84.64285714285711</v>
      </c>
      <c r="R38" s="100">
        <f t="shared" si="15"/>
        <v>91.428571428571402</v>
      </c>
      <c r="S38" s="100">
        <f t="shared" si="15"/>
        <v>95.714285714285694</v>
      </c>
      <c r="T38" s="100">
        <f t="shared" si="15"/>
        <v>99.999999999999986</v>
      </c>
      <c r="U38" s="53"/>
      <c r="V38" s="285"/>
      <c r="W38" s="391"/>
      <c r="X38" s="392"/>
      <c r="Y38" s="392"/>
      <c r="Z38" s="393"/>
      <c r="AA38" s="40"/>
    </row>
    <row r="39" spans="1:28" ht="15" customHeight="1" x14ac:dyDescent="0.35">
      <c r="A39" s="42"/>
      <c r="B39" s="115"/>
      <c r="C39" s="52" t="s">
        <v>31</v>
      </c>
      <c r="D39" s="53"/>
      <c r="E39" s="103"/>
      <c r="F39" s="173"/>
      <c r="G39" s="54">
        <f t="shared" ref="G39:L39" si="16">G31+G28+G25+G23+G21+G19+G17</f>
        <v>8.7928571428571445</v>
      </c>
      <c r="H39" s="54">
        <f t="shared" si="16"/>
        <v>8.7857142857142865</v>
      </c>
      <c r="I39" s="54">
        <f t="shared" si="16"/>
        <v>5.5714285714285712</v>
      </c>
      <c r="J39" s="54">
        <f t="shared" si="16"/>
        <v>5.5714285714285712</v>
      </c>
      <c r="K39" s="54">
        <f t="shared" si="16"/>
        <v>4.6107142857142858</v>
      </c>
      <c r="L39" s="54">
        <f t="shared" si="16"/>
        <v>7.4107142857142856</v>
      </c>
      <c r="M39" s="54">
        <f t="shared" ref="M39:N39" si="17">M31+M28+M25+M23+M21+M19+M17</f>
        <v>8.7857142857142865</v>
      </c>
      <c r="N39" s="54">
        <f t="shared" si="17"/>
        <v>8.7857142857142865</v>
      </c>
      <c r="O39" s="54"/>
      <c r="P39" s="54"/>
      <c r="Q39" s="54"/>
      <c r="R39" s="54"/>
      <c r="S39" s="54"/>
      <c r="T39" s="54"/>
      <c r="U39" s="53"/>
      <c r="V39" s="285"/>
      <c r="W39" s="391"/>
      <c r="X39" s="392"/>
      <c r="Y39" s="392"/>
      <c r="Z39" s="393"/>
      <c r="AA39" s="40"/>
    </row>
    <row r="40" spans="1:28" ht="15" customHeight="1" x14ac:dyDescent="0.35">
      <c r="A40" s="42"/>
      <c r="B40" s="115"/>
      <c r="C40" s="52" t="s">
        <v>32</v>
      </c>
      <c r="D40" s="54"/>
      <c r="E40" s="128">
        <v>0</v>
      </c>
      <c r="F40" s="125">
        <v>0</v>
      </c>
      <c r="G40" s="101">
        <f>G31+G28+G25+G23+G21+G19+G17</f>
        <v>8.7928571428571445</v>
      </c>
      <c r="H40" s="101">
        <f t="shared" ref="H40:N40" si="18">G40+H39</f>
        <v>17.578571428571429</v>
      </c>
      <c r="I40" s="101">
        <f t="shared" si="18"/>
        <v>23.15</v>
      </c>
      <c r="J40" s="101">
        <f t="shared" si="18"/>
        <v>28.721428571428568</v>
      </c>
      <c r="K40" s="101">
        <f t="shared" si="18"/>
        <v>33.332142857142856</v>
      </c>
      <c r="L40" s="101">
        <f t="shared" si="18"/>
        <v>40.74285714285714</v>
      </c>
      <c r="M40" s="101">
        <f t="shared" si="18"/>
        <v>49.528571428571425</v>
      </c>
      <c r="N40" s="101">
        <f t="shared" si="18"/>
        <v>58.31428571428571</v>
      </c>
      <c r="O40" s="101"/>
      <c r="P40" s="101"/>
      <c r="Q40" s="101"/>
      <c r="R40" s="101"/>
      <c r="S40" s="101"/>
      <c r="T40" s="101"/>
      <c r="U40" s="55"/>
      <c r="V40" s="286"/>
      <c r="W40" s="391"/>
      <c r="X40" s="392"/>
      <c r="Y40" s="392"/>
      <c r="Z40" s="393"/>
      <c r="AA40" s="40"/>
    </row>
    <row r="41" spans="1:28" ht="15" customHeight="1" thickBot="1" x14ac:dyDescent="0.4">
      <c r="A41" s="42"/>
      <c r="B41" s="116"/>
      <c r="C41" s="117" t="s">
        <v>33</v>
      </c>
      <c r="D41" s="179"/>
      <c r="E41" s="179"/>
      <c r="F41" s="180"/>
      <c r="G41" s="181">
        <f>G40-G38</f>
        <v>4.5071428571428589</v>
      </c>
      <c r="H41" s="181">
        <f t="shared" ref="H41" si="19">H40-H38</f>
        <v>7.007142857142858</v>
      </c>
      <c r="I41" s="181">
        <f t="shared" ref="I41:N41" si="20">I40-I38</f>
        <v>6.2928571428571409</v>
      </c>
      <c r="J41" s="181">
        <f t="shared" si="20"/>
        <v>5.5785714285714256</v>
      </c>
      <c r="K41" s="181">
        <f t="shared" si="20"/>
        <v>1.4035714285714285</v>
      </c>
      <c r="L41" s="181">
        <f t="shared" si="20"/>
        <v>2.8571428571432023E-2</v>
      </c>
      <c r="M41" s="181">
        <f t="shared" si="20"/>
        <v>2.8571428571432023E-2</v>
      </c>
      <c r="N41" s="181">
        <f t="shared" si="20"/>
        <v>2.8571428571432023E-2</v>
      </c>
      <c r="O41" s="181"/>
      <c r="P41" s="181"/>
      <c r="Q41" s="181"/>
      <c r="R41" s="181"/>
      <c r="S41" s="181"/>
      <c r="T41" s="181"/>
      <c r="U41" s="179"/>
      <c r="V41" s="287"/>
      <c r="W41" s="384"/>
      <c r="X41" s="385"/>
      <c r="Y41" s="385"/>
      <c r="Z41" s="386"/>
      <c r="AA41" s="40"/>
    </row>
    <row r="42" spans="1:28" ht="15" customHeight="1" thickTop="1" x14ac:dyDescent="0.35">
      <c r="B42" s="56"/>
      <c r="C42" s="41"/>
      <c r="D42" s="56"/>
      <c r="E42" s="56"/>
      <c r="F42" s="56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6"/>
      <c r="V42" s="56"/>
      <c r="W42" s="56"/>
      <c r="X42" s="56"/>
      <c r="Y42" s="56"/>
      <c r="Z42" s="56"/>
    </row>
    <row r="43" spans="1:28" ht="15" customHeight="1" x14ac:dyDescent="0.35"/>
    <row r="44" spans="1:28" ht="15" customHeight="1" x14ac:dyDescent="0.35">
      <c r="C44" s="118" t="s">
        <v>105</v>
      </c>
      <c r="D44" s="119"/>
      <c r="E44" s="119"/>
      <c r="F44" s="119"/>
      <c r="G44" s="120"/>
      <c r="H44" s="118" t="s">
        <v>51</v>
      </c>
      <c r="I44" s="132"/>
      <c r="J44" s="120"/>
      <c r="K44" s="120"/>
      <c r="L44" s="120"/>
      <c r="M44" s="120"/>
      <c r="N44" s="132"/>
      <c r="O44" s="120"/>
      <c r="P44" s="288"/>
      <c r="Q44" s="120"/>
      <c r="R44" s="120"/>
      <c r="S44" s="120"/>
      <c r="T44" s="120"/>
      <c r="U44" s="118" t="s">
        <v>44</v>
      </c>
      <c r="V44" s="118"/>
      <c r="W44" s="387" t="str">
        <f>COVER!I18</f>
        <v>23/8/2026</v>
      </c>
      <c r="X44" s="387"/>
      <c r="Y44" s="118"/>
      <c r="Z44" s="118"/>
    </row>
    <row r="45" spans="1:28" ht="15" customHeight="1" x14ac:dyDescent="0.35">
      <c r="C45" s="118" t="s">
        <v>71</v>
      </c>
      <c r="D45" s="119"/>
      <c r="E45" s="119"/>
      <c r="F45" s="119"/>
      <c r="G45" s="120"/>
      <c r="H45" s="118" t="s">
        <v>71</v>
      </c>
      <c r="I45" s="185"/>
      <c r="J45" s="120"/>
      <c r="K45" s="120"/>
      <c r="L45" s="120"/>
      <c r="M45" s="120"/>
      <c r="N45" s="185"/>
      <c r="O45" s="120"/>
      <c r="P45" s="185"/>
      <c r="Q45" s="120"/>
      <c r="R45" s="120"/>
      <c r="S45" s="120"/>
      <c r="T45" s="120"/>
      <c r="U45" s="118" t="s">
        <v>34</v>
      </c>
      <c r="V45" s="118"/>
      <c r="W45" s="120"/>
      <c r="X45" s="120"/>
      <c r="Y45" s="120"/>
      <c r="Z45" s="120"/>
    </row>
    <row r="46" spans="1:28" ht="15" customHeight="1" x14ac:dyDescent="0.35">
      <c r="C46" s="121"/>
      <c r="D46" s="121"/>
      <c r="E46" s="119"/>
      <c r="F46" s="119"/>
      <c r="G46" s="120"/>
      <c r="H46" s="121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spans="1:28" ht="15" customHeight="1" x14ac:dyDescent="0.35">
      <c r="C47" s="121"/>
      <c r="D47" s="121"/>
      <c r="E47" s="119"/>
      <c r="F47" s="119"/>
      <c r="G47" s="120"/>
      <c r="H47" s="121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spans="1:28" ht="15" customHeight="1" x14ac:dyDescent="0.35">
      <c r="C48" s="121"/>
      <c r="D48" s="121"/>
      <c r="E48" s="119"/>
      <c r="F48" s="119"/>
      <c r="G48" s="120"/>
      <c r="H48" s="121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spans="2:26" ht="15" customHeight="1" x14ac:dyDescent="0.35">
      <c r="C49" s="121"/>
      <c r="D49" s="121"/>
      <c r="E49" s="119"/>
      <c r="F49" s="119"/>
      <c r="G49" s="120"/>
      <c r="H49" s="121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spans="2:26" ht="15" customHeight="1" x14ac:dyDescent="0.35">
      <c r="C50" s="121"/>
      <c r="D50" s="121"/>
      <c r="E50" s="119"/>
      <c r="F50" s="119"/>
      <c r="G50" s="120"/>
      <c r="H50" s="121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2:26" ht="15" customHeight="1" x14ac:dyDescent="0.35">
      <c r="C51" s="121"/>
      <c r="D51" s="121"/>
      <c r="E51" s="119"/>
      <c r="F51" s="119"/>
      <c r="G51" s="120"/>
      <c r="H51" s="121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spans="2:26" ht="15" customHeight="1" x14ac:dyDescent="0.35">
      <c r="B52" s="58"/>
      <c r="C52" s="186" t="s">
        <v>104</v>
      </c>
      <c r="D52" s="121"/>
      <c r="E52" s="119"/>
      <c r="F52" s="119"/>
      <c r="G52" s="120"/>
      <c r="H52" s="186" t="s">
        <v>106</v>
      </c>
      <c r="I52" s="133"/>
      <c r="J52" s="120"/>
      <c r="K52" s="120"/>
      <c r="L52" s="120"/>
      <c r="M52" s="120"/>
      <c r="N52" s="133"/>
      <c r="O52" s="120"/>
      <c r="P52" s="133"/>
      <c r="Q52" s="120"/>
      <c r="R52" s="120"/>
      <c r="S52" s="120"/>
      <c r="T52" s="120"/>
      <c r="U52" s="122" t="s">
        <v>107</v>
      </c>
      <c r="V52" s="122"/>
      <c r="W52" s="122"/>
      <c r="X52" s="122"/>
      <c r="Y52" s="122"/>
      <c r="Z52" s="122"/>
    </row>
    <row r="53" spans="2:26" ht="15" customHeight="1" x14ac:dyDescent="0.35">
      <c r="B53" s="58"/>
      <c r="C53" s="121" t="s">
        <v>102</v>
      </c>
      <c r="D53" s="119"/>
      <c r="E53" s="119"/>
      <c r="F53" s="119"/>
      <c r="G53" s="120"/>
      <c r="H53" s="121" t="s">
        <v>103</v>
      </c>
      <c r="I53" s="132"/>
      <c r="J53" s="120"/>
      <c r="K53" s="120"/>
      <c r="L53" s="120"/>
      <c r="M53" s="120"/>
      <c r="N53" s="132"/>
      <c r="O53" s="120"/>
      <c r="P53" s="132"/>
      <c r="Q53" s="120"/>
      <c r="R53" s="120"/>
      <c r="S53" s="120"/>
      <c r="T53" s="120"/>
      <c r="U53" s="119" t="s">
        <v>35</v>
      </c>
      <c r="V53" s="119"/>
      <c r="W53" s="123"/>
      <c r="X53" s="123"/>
      <c r="Y53" s="123"/>
      <c r="Z53" s="123"/>
    </row>
  </sheetData>
  <mergeCells count="25">
    <mergeCell ref="W40:Z40"/>
    <mergeCell ref="W41:Z41"/>
    <mergeCell ref="W44:X44"/>
    <mergeCell ref="W16:Z16"/>
    <mergeCell ref="W17:Z17"/>
    <mergeCell ref="W36:Z36"/>
    <mergeCell ref="W37:Z37"/>
    <mergeCell ref="W38:Z38"/>
    <mergeCell ref="W39:Z39"/>
    <mergeCell ref="W15:Z15"/>
    <mergeCell ref="B7:Z7"/>
    <mergeCell ref="W8:Z8"/>
    <mergeCell ref="W9:Z9"/>
    <mergeCell ref="W10:Z10"/>
    <mergeCell ref="B11:B14"/>
    <mergeCell ref="C11:C14"/>
    <mergeCell ref="D11:D13"/>
    <mergeCell ref="E11:E13"/>
    <mergeCell ref="G11:R11"/>
    <mergeCell ref="U11:U14"/>
    <mergeCell ref="W11:Z14"/>
    <mergeCell ref="G12:J13"/>
    <mergeCell ref="K12:N13"/>
    <mergeCell ref="O12:R13"/>
    <mergeCell ref="S12:T13"/>
  </mergeCells>
  <printOptions horizontalCentered="1"/>
  <pageMargins left="0.19685039370078741" right="0.19685039370078741" top="0.51181102362204722" bottom="0.23622047244094491" header="3.937007874015748E-2" footer="3.937007874015748E-2"/>
  <pageSetup paperSize="9" scale="55" orientation="landscape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5"/>
  <sheetViews>
    <sheetView topLeftCell="A13" zoomScale="25" zoomScaleNormal="25" zoomScaleSheetLayoutView="55" workbookViewId="0">
      <selection activeCell="AD21" sqref="AD21"/>
    </sheetView>
  </sheetViews>
  <sheetFormatPr defaultRowHeight="14.5" x14ac:dyDescent="0.35"/>
  <cols>
    <col min="1" max="1" width="3.1796875" customWidth="1"/>
    <col min="2" max="2" width="6.54296875" customWidth="1"/>
    <col min="3" max="3" width="77.1796875" customWidth="1"/>
    <col min="4" max="4" width="11" customWidth="1"/>
    <col min="5" max="19" width="15.6328125" customWidth="1"/>
    <col min="20" max="20" width="19.6328125" customWidth="1"/>
    <col min="21" max="21" width="11.453125" customWidth="1"/>
    <col min="22" max="22" width="16.7265625" customWidth="1"/>
    <col min="23" max="23" width="1.7265625" customWidth="1"/>
    <col min="24" max="24" width="16.54296875" customWidth="1"/>
    <col min="25" max="25" width="3.1796875" customWidth="1"/>
    <col min="30" max="30" width="10.26953125" bestFit="1" customWidth="1"/>
    <col min="31" max="31" width="13.81640625" bestFit="1" customWidth="1"/>
    <col min="32" max="32" width="11.26953125" bestFit="1" customWidth="1"/>
  </cols>
  <sheetData>
    <row r="1" spans="1:28" ht="15" customHeight="1" x14ac:dyDescent="0.35"/>
    <row r="2" spans="1:28" ht="15" customHeight="1" x14ac:dyDescent="0.35">
      <c r="T2" s="36"/>
      <c r="U2" s="36"/>
      <c r="V2" s="36"/>
      <c r="W2" s="36"/>
      <c r="X2" s="36"/>
    </row>
    <row r="3" spans="1:28" ht="15" customHeight="1" x14ac:dyDescent="0.35">
      <c r="T3" s="36"/>
      <c r="U3" s="436" t="s">
        <v>34</v>
      </c>
      <c r="V3" s="436"/>
      <c r="W3" s="436"/>
      <c r="X3" s="436"/>
    </row>
    <row r="4" spans="1:28" ht="15" customHeight="1" x14ac:dyDescent="0.35">
      <c r="C4" s="132" t="s">
        <v>130</v>
      </c>
      <c r="T4" s="36"/>
      <c r="U4" s="436"/>
      <c r="V4" s="436"/>
      <c r="W4" s="436"/>
      <c r="X4" s="436"/>
    </row>
    <row r="5" spans="1:28" ht="15" customHeight="1" x14ac:dyDescent="0.35">
      <c r="B5" s="37"/>
      <c r="C5" s="38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6"/>
      <c r="U5" s="36"/>
      <c r="V5" s="36"/>
      <c r="W5" s="36"/>
      <c r="X5" s="36"/>
    </row>
    <row r="6" spans="1:28" ht="15" customHeight="1" thickBot="1" x14ac:dyDescent="0.4"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</row>
    <row r="7" spans="1:28" s="94" customFormat="1" ht="35" customHeight="1" thickTop="1" thickBot="1" x14ac:dyDescent="0.4">
      <c r="B7" s="437" t="s">
        <v>131</v>
      </c>
      <c r="C7" s="438"/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38"/>
      <c r="P7" s="438"/>
      <c r="Q7" s="438"/>
      <c r="R7" s="438"/>
      <c r="S7" s="438"/>
      <c r="T7" s="438"/>
      <c r="U7" s="438"/>
      <c r="V7" s="438"/>
      <c r="W7" s="438"/>
      <c r="X7" s="439"/>
      <c r="Y7" s="98"/>
      <c r="Z7" s="320"/>
    </row>
    <row r="8" spans="1:28" s="94" customFormat="1" ht="35" customHeight="1" thickTop="1" x14ac:dyDescent="0.35">
      <c r="B8" s="321"/>
      <c r="C8" s="322" t="s">
        <v>39</v>
      </c>
      <c r="D8" s="323" t="s">
        <v>3</v>
      </c>
      <c r="E8" s="322" t="str">
        <f>COVER!D14</f>
        <v>PEKERJAAN ASESMENT KAMPUS B UNIVERSITAS  INTERNASIONAL SEMEN INDONESIA</v>
      </c>
      <c r="F8" s="324"/>
      <c r="G8" s="325"/>
      <c r="H8" s="325"/>
      <c r="I8" s="325"/>
      <c r="J8" s="325"/>
      <c r="K8" s="324"/>
      <c r="L8" s="324"/>
      <c r="M8" s="325"/>
      <c r="N8" s="325"/>
      <c r="O8" s="325"/>
      <c r="P8" s="325"/>
      <c r="Q8" s="325"/>
      <c r="R8" s="325"/>
      <c r="S8" s="325"/>
      <c r="T8" s="325"/>
      <c r="U8" s="440" t="s">
        <v>132</v>
      </c>
      <c r="V8" s="440"/>
      <c r="W8" s="440"/>
      <c r="X8" s="441"/>
      <c r="Y8" s="98"/>
      <c r="Z8" s="320"/>
    </row>
    <row r="9" spans="1:28" s="94" customFormat="1" ht="35" customHeight="1" x14ac:dyDescent="0.35">
      <c r="B9" s="326"/>
      <c r="C9" s="327" t="s">
        <v>125</v>
      </c>
      <c r="D9" s="328" t="s">
        <v>3</v>
      </c>
      <c r="E9" s="327" t="s">
        <v>133</v>
      </c>
      <c r="F9" s="328"/>
      <c r="G9" s="329"/>
      <c r="H9" s="329"/>
      <c r="I9" s="329"/>
      <c r="J9" s="329"/>
      <c r="K9" s="328"/>
      <c r="L9" s="328"/>
      <c r="M9" s="329"/>
      <c r="N9" s="329"/>
      <c r="O9" s="329"/>
      <c r="P9" s="329"/>
      <c r="Q9" s="329"/>
      <c r="R9" s="329"/>
      <c r="S9" s="329"/>
      <c r="T9" s="329"/>
      <c r="U9" s="442" t="s">
        <v>134</v>
      </c>
      <c r="V9" s="442"/>
      <c r="W9" s="442"/>
      <c r="X9" s="443"/>
      <c r="Y9" s="98"/>
      <c r="Z9" s="320"/>
    </row>
    <row r="10" spans="1:28" s="94" customFormat="1" ht="35" customHeight="1" thickBot="1" x14ac:dyDescent="0.4">
      <c r="B10" s="330"/>
      <c r="C10" s="331" t="s">
        <v>96</v>
      </c>
      <c r="D10" s="332" t="s">
        <v>3</v>
      </c>
      <c r="E10" s="333" t="str">
        <f>COVER!K5</f>
        <v>35/PBJ.12/01-01/08.26</v>
      </c>
      <c r="F10" s="332"/>
      <c r="G10" s="334"/>
      <c r="H10" s="334"/>
      <c r="I10" s="334"/>
      <c r="J10" s="334"/>
      <c r="K10" s="332"/>
      <c r="L10" s="332"/>
      <c r="M10" s="334"/>
      <c r="N10" s="334"/>
      <c r="O10" s="334"/>
      <c r="P10" s="334"/>
      <c r="Q10" s="334"/>
      <c r="R10" s="334"/>
      <c r="S10" s="334"/>
      <c r="T10" s="334"/>
      <c r="U10" s="444"/>
      <c r="V10" s="444"/>
      <c r="W10" s="444"/>
      <c r="X10" s="445"/>
      <c r="Y10" s="98"/>
      <c r="Z10" s="320"/>
    </row>
    <row r="11" spans="1:28" s="94" customFormat="1" ht="35" customHeight="1" thickTop="1" x14ac:dyDescent="0.35">
      <c r="A11" s="97"/>
      <c r="B11" s="446" t="s">
        <v>17</v>
      </c>
      <c r="C11" s="449" t="s">
        <v>20</v>
      </c>
      <c r="D11" s="449" t="s">
        <v>18</v>
      </c>
      <c r="E11" s="452">
        <v>2025</v>
      </c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4"/>
      <c r="T11" s="449" t="s">
        <v>7</v>
      </c>
      <c r="U11" s="452" t="s">
        <v>21</v>
      </c>
      <c r="V11" s="453"/>
      <c r="W11" s="453"/>
      <c r="X11" s="455"/>
      <c r="Y11" s="98"/>
      <c r="Z11" s="320"/>
    </row>
    <row r="12" spans="1:28" s="94" customFormat="1" ht="35" customHeight="1" x14ac:dyDescent="0.35">
      <c r="A12" s="97"/>
      <c r="B12" s="447"/>
      <c r="C12" s="450"/>
      <c r="D12" s="450"/>
      <c r="E12" s="462" t="s">
        <v>135</v>
      </c>
      <c r="F12" s="463"/>
      <c r="G12" s="462" t="s">
        <v>136</v>
      </c>
      <c r="H12" s="464"/>
      <c r="I12" s="464"/>
      <c r="J12" s="463"/>
      <c r="K12" s="462" t="s">
        <v>137</v>
      </c>
      <c r="L12" s="464"/>
      <c r="M12" s="464"/>
      <c r="N12" s="464"/>
      <c r="O12" s="465" t="s">
        <v>138</v>
      </c>
      <c r="P12" s="465"/>
      <c r="Q12" s="465"/>
      <c r="R12" s="465"/>
      <c r="S12" s="465"/>
      <c r="T12" s="450"/>
      <c r="U12" s="456"/>
      <c r="V12" s="457"/>
      <c r="W12" s="457"/>
      <c r="X12" s="458"/>
      <c r="Y12" s="98"/>
      <c r="Z12" s="320"/>
    </row>
    <row r="13" spans="1:28" s="94" customFormat="1" ht="35" customHeight="1" thickBot="1" x14ac:dyDescent="0.4">
      <c r="A13" s="97"/>
      <c r="B13" s="448"/>
      <c r="C13" s="451"/>
      <c r="D13" s="318" t="s">
        <v>26</v>
      </c>
      <c r="E13" s="335">
        <v>1</v>
      </c>
      <c r="F13" s="335">
        <f t="shared" ref="F13:J13" si="0">E13+1</f>
        <v>2</v>
      </c>
      <c r="G13" s="335">
        <f t="shared" si="0"/>
        <v>3</v>
      </c>
      <c r="H13" s="335">
        <f t="shared" si="0"/>
        <v>4</v>
      </c>
      <c r="I13" s="335">
        <f t="shared" si="0"/>
        <v>5</v>
      </c>
      <c r="J13" s="335">
        <f t="shared" si="0"/>
        <v>6</v>
      </c>
      <c r="K13" s="335">
        <v>7</v>
      </c>
      <c r="L13" s="335">
        <v>8</v>
      </c>
      <c r="M13" s="335">
        <v>9</v>
      </c>
      <c r="N13" s="335">
        <v>10</v>
      </c>
      <c r="O13" s="335">
        <v>11</v>
      </c>
      <c r="P13" s="335">
        <v>12</v>
      </c>
      <c r="Q13" s="335">
        <v>13</v>
      </c>
      <c r="R13" s="335">
        <v>14</v>
      </c>
      <c r="S13" s="335">
        <v>15</v>
      </c>
      <c r="T13" s="451"/>
      <c r="U13" s="459"/>
      <c r="V13" s="460"/>
      <c r="W13" s="460"/>
      <c r="X13" s="461"/>
      <c r="Y13" s="98"/>
      <c r="Z13" s="320"/>
    </row>
    <row r="14" spans="1:28" s="94" customFormat="1" ht="30" customHeight="1" thickTop="1" x14ac:dyDescent="0.35">
      <c r="A14" s="97"/>
      <c r="B14" s="290" t="s">
        <v>23</v>
      </c>
      <c r="C14" s="302" t="s">
        <v>139</v>
      </c>
      <c r="D14" s="336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291"/>
      <c r="U14" s="315" t="s">
        <v>140</v>
      </c>
      <c r="V14" s="316"/>
      <c r="W14" s="316"/>
      <c r="X14" s="317"/>
      <c r="Y14" s="98"/>
      <c r="Z14" s="338"/>
    </row>
    <row r="15" spans="1:28" s="94" customFormat="1" ht="50" customHeight="1" x14ac:dyDescent="0.35">
      <c r="A15" s="97"/>
      <c r="B15" s="292">
        <v>1</v>
      </c>
      <c r="C15" s="339" t="s">
        <v>141</v>
      </c>
      <c r="D15" s="293">
        <v>5</v>
      </c>
      <c r="E15" s="337">
        <v>2</v>
      </c>
      <c r="F15" s="337">
        <v>3</v>
      </c>
      <c r="G15" s="337"/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291">
        <f t="shared" ref="T15:T18" si="1">SUM(E15:P15)</f>
        <v>5</v>
      </c>
      <c r="U15" s="315" t="s">
        <v>142</v>
      </c>
      <c r="V15" s="316"/>
      <c r="W15" s="316"/>
      <c r="X15" s="317"/>
      <c r="Y15" s="98"/>
      <c r="Z15" s="338"/>
    </row>
    <row r="16" spans="1:28" s="94" customFormat="1" ht="50" customHeight="1" x14ac:dyDescent="0.35">
      <c r="A16" s="97"/>
      <c r="B16" s="292">
        <v>2</v>
      </c>
      <c r="C16" s="303" t="s">
        <v>143</v>
      </c>
      <c r="D16" s="293">
        <v>2</v>
      </c>
      <c r="E16" s="337">
        <v>1</v>
      </c>
      <c r="F16" s="337">
        <v>1</v>
      </c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7"/>
      <c r="R16" s="337"/>
      <c r="S16" s="337"/>
      <c r="T16" s="291">
        <f t="shared" si="1"/>
        <v>2</v>
      </c>
      <c r="U16" s="315" t="s">
        <v>144</v>
      </c>
      <c r="V16" s="316"/>
      <c r="W16" s="316"/>
      <c r="X16" s="317"/>
      <c r="Y16" s="98"/>
      <c r="Z16" s="338"/>
      <c r="AB16" s="289"/>
    </row>
    <row r="17" spans="1:28" s="94" customFormat="1" ht="50" customHeight="1" x14ac:dyDescent="0.35">
      <c r="A17" s="97"/>
      <c r="B17" s="292">
        <v>3</v>
      </c>
      <c r="C17" s="303" t="s">
        <v>145</v>
      </c>
      <c r="D17" s="293">
        <v>20</v>
      </c>
      <c r="E17" s="337"/>
      <c r="F17" s="337">
        <v>2.5</v>
      </c>
      <c r="G17" s="337">
        <v>2.5</v>
      </c>
      <c r="H17" s="337">
        <v>8</v>
      </c>
      <c r="I17" s="337">
        <v>7</v>
      </c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291">
        <f t="shared" si="1"/>
        <v>20</v>
      </c>
      <c r="U17" s="315" t="s">
        <v>146</v>
      </c>
      <c r="V17" s="316"/>
      <c r="W17" s="316"/>
      <c r="X17" s="317"/>
      <c r="Y17" s="98"/>
      <c r="Z17" s="338"/>
      <c r="AB17" s="289"/>
    </row>
    <row r="18" spans="1:28" s="94" customFormat="1" ht="50" customHeight="1" x14ac:dyDescent="0.35">
      <c r="A18" s="97"/>
      <c r="B18" s="292">
        <v>4</v>
      </c>
      <c r="C18" s="304" t="s">
        <v>147</v>
      </c>
      <c r="D18" s="293">
        <v>3</v>
      </c>
      <c r="E18" s="337"/>
      <c r="F18" s="337"/>
      <c r="G18" s="337"/>
      <c r="H18" s="337"/>
      <c r="I18" s="337">
        <v>1</v>
      </c>
      <c r="J18" s="337">
        <v>1</v>
      </c>
      <c r="K18" s="337">
        <v>1</v>
      </c>
      <c r="L18" s="337"/>
      <c r="M18" s="337"/>
      <c r="N18" s="337"/>
      <c r="O18" s="337"/>
      <c r="P18" s="337"/>
      <c r="Q18" s="337"/>
      <c r="R18" s="337"/>
      <c r="S18" s="337"/>
      <c r="T18" s="291">
        <f t="shared" si="1"/>
        <v>3</v>
      </c>
      <c r="U18" s="315" t="s">
        <v>148</v>
      </c>
      <c r="V18" s="316"/>
      <c r="W18" s="316"/>
      <c r="X18" s="317"/>
      <c r="Y18" s="98"/>
      <c r="Z18" s="338"/>
      <c r="AB18" s="289"/>
    </row>
    <row r="19" spans="1:28" s="94" customFormat="1" ht="35" customHeight="1" x14ac:dyDescent="0.35">
      <c r="A19" s="97"/>
      <c r="B19" s="290" t="s">
        <v>24</v>
      </c>
      <c r="C19" s="340" t="s">
        <v>149</v>
      </c>
      <c r="D19" s="341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Q19" s="337"/>
      <c r="R19" s="337"/>
      <c r="S19" s="337"/>
      <c r="T19" s="291"/>
      <c r="U19" s="315" t="s">
        <v>150</v>
      </c>
      <c r="V19" s="316"/>
      <c r="W19" s="316"/>
      <c r="X19" s="317"/>
      <c r="Y19" s="98"/>
      <c r="Z19" s="338"/>
      <c r="AB19" s="289"/>
    </row>
    <row r="20" spans="1:28" s="94" customFormat="1" ht="50" customHeight="1" x14ac:dyDescent="0.35">
      <c r="A20" s="97"/>
      <c r="B20" s="292">
        <v>1</v>
      </c>
      <c r="C20" s="305" t="s">
        <v>151</v>
      </c>
      <c r="D20" s="293">
        <v>5</v>
      </c>
      <c r="E20" s="337"/>
      <c r="F20" s="337"/>
      <c r="G20" s="337"/>
      <c r="H20" s="337"/>
      <c r="I20" s="337"/>
      <c r="J20" s="337"/>
      <c r="K20" s="337"/>
      <c r="L20" s="337">
        <v>1</v>
      </c>
      <c r="M20" s="337">
        <v>1</v>
      </c>
      <c r="N20" s="337">
        <v>2</v>
      </c>
      <c r="O20" s="337">
        <v>1</v>
      </c>
      <c r="P20" s="337"/>
      <c r="Q20" s="337"/>
      <c r="R20" s="337"/>
      <c r="S20" s="337"/>
      <c r="T20" s="291">
        <f t="shared" ref="T20" si="2">SUM(E20:P20)</f>
        <v>5</v>
      </c>
      <c r="U20" s="315" t="s">
        <v>152</v>
      </c>
      <c r="V20" s="316"/>
      <c r="W20" s="316"/>
      <c r="X20" s="317"/>
      <c r="Y20" s="98"/>
      <c r="Z20" s="338"/>
      <c r="AB20" s="289"/>
    </row>
    <row r="21" spans="1:28" s="94" customFormat="1" ht="50" customHeight="1" x14ac:dyDescent="0.35">
      <c r="A21" s="97"/>
      <c r="B21" s="292">
        <v>2</v>
      </c>
      <c r="C21" s="305" t="s">
        <v>153</v>
      </c>
      <c r="D21" s="293">
        <v>3</v>
      </c>
      <c r="E21" s="337"/>
      <c r="F21" s="337"/>
      <c r="G21" s="337"/>
      <c r="H21" s="337"/>
      <c r="I21" s="337"/>
      <c r="J21" s="337"/>
      <c r="K21" s="337"/>
      <c r="L21" s="337"/>
      <c r="M21" s="337">
        <v>0.5</v>
      </c>
      <c r="N21" s="337">
        <v>0.5</v>
      </c>
      <c r="O21" s="337">
        <v>0.5</v>
      </c>
      <c r="P21" s="337">
        <v>1</v>
      </c>
      <c r="Q21" s="337">
        <v>0.5</v>
      </c>
      <c r="R21" s="337"/>
      <c r="S21" s="337"/>
      <c r="T21" s="291">
        <f>SUM(E21:S21)</f>
        <v>3</v>
      </c>
      <c r="U21" s="315" t="s">
        <v>154</v>
      </c>
      <c r="V21" s="316"/>
      <c r="W21" s="316"/>
      <c r="X21" s="317"/>
      <c r="Y21" s="98"/>
      <c r="Z21" s="338"/>
      <c r="AB21" s="289"/>
    </row>
    <row r="22" spans="1:28" s="94" customFormat="1" ht="50" customHeight="1" x14ac:dyDescent="0.35">
      <c r="A22" s="97"/>
      <c r="B22" s="292">
        <v>3</v>
      </c>
      <c r="C22" s="305" t="s">
        <v>155</v>
      </c>
      <c r="D22" s="293">
        <v>20</v>
      </c>
      <c r="E22" s="337"/>
      <c r="F22" s="337"/>
      <c r="G22" s="337"/>
      <c r="H22" s="337"/>
      <c r="I22" s="337"/>
      <c r="J22" s="337"/>
      <c r="K22" s="337"/>
      <c r="L22" s="337">
        <v>1</v>
      </c>
      <c r="M22" s="337">
        <v>1</v>
      </c>
      <c r="N22" s="337">
        <v>3</v>
      </c>
      <c r="O22" s="337">
        <v>5</v>
      </c>
      <c r="P22" s="337">
        <v>5</v>
      </c>
      <c r="Q22" s="337">
        <v>5</v>
      </c>
      <c r="R22" s="337"/>
      <c r="S22" s="337"/>
      <c r="T22" s="291">
        <f>SUM(E22:S22)</f>
        <v>20</v>
      </c>
      <c r="U22" s="315" t="s">
        <v>156</v>
      </c>
      <c r="V22" s="316"/>
      <c r="W22" s="316"/>
      <c r="X22" s="317"/>
      <c r="Y22" s="98"/>
      <c r="Z22" s="338"/>
      <c r="AB22" s="289"/>
    </row>
    <row r="23" spans="1:28" s="94" customFormat="1" ht="50" customHeight="1" x14ac:dyDescent="0.35">
      <c r="A23" s="97"/>
      <c r="B23" s="292">
        <v>4</v>
      </c>
      <c r="C23" s="305" t="s">
        <v>157</v>
      </c>
      <c r="D23" s="293">
        <v>2</v>
      </c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>
        <v>1</v>
      </c>
      <c r="Q23" s="337">
        <v>1</v>
      </c>
      <c r="R23" s="337"/>
      <c r="S23" s="337"/>
      <c r="T23" s="291">
        <f>SUM(E23:S23)</f>
        <v>2</v>
      </c>
      <c r="U23" s="315" t="s">
        <v>158</v>
      </c>
      <c r="V23" s="316"/>
      <c r="W23" s="316"/>
      <c r="X23" s="317"/>
      <c r="Y23" s="98"/>
      <c r="Z23" s="338"/>
      <c r="AB23" s="289"/>
    </row>
    <row r="24" spans="1:28" s="94" customFormat="1" ht="35" customHeight="1" x14ac:dyDescent="0.35">
      <c r="A24" s="97"/>
      <c r="B24" s="290" t="s">
        <v>25</v>
      </c>
      <c r="C24" s="342" t="s">
        <v>159</v>
      </c>
      <c r="D24" s="341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7"/>
      <c r="P24" s="337"/>
      <c r="Q24" s="337"/>
      <c r="R24" s="337"/>
      <c r="S24" s="337"/>
      <c r="T24" s="291"/>
      <c r="U24" s="315" t="s">
        <v>160</v>
      </c>
      <c r="V24" s="316"/>
      <c r="W24" s="316"/>
      <c r="X24" s="317"/>
      <c r="Y24" s="98"/>
      <c r="Z24" s="338"/>
      <c r="AB24" s="289"/>
    </row>
    <row r="25" spans="1:28" s="94" customFormat="1" ht="50" customHeight="1" x14ac:dyDescent="0.35">
      <c r="A25" s="97"/>
      <c r="B25" s="292">
        <v>1</v>
      </c>
      <c r="C25" s="305" t="s">
        <v>161</v>
      </c>
      <c r="D25" s="293">
        <v>5</v>
      </c>
      <c r="E25" s="337"/>
      <c r="F25" s="337"/>
      <c r="G25" s="337"/>
      <c r="H25" s="337"/>
      <c r="I25" s="337"/>
      <c r="J25" s="337"/>
      <c r="K25" s="337">
        <f>5/8</f>
        <v>0.625</v>
      </c>
      <c r="L25" s="337">
        <f t="shared" ref="L25:R25" si="3">5/8</f>
        <v>0.625</v>
      </c>
      <c r="M25" s="337">
        <f t="shared" si="3"/>
        <v>0.625</v>
      </c>
      <c r="N25" s="337">
        <f t="shared" si="3"/>
        <v>0.625</v>
      </c>
      <c r="O25" s="337">
        <f t="shared" si="3"/>
        <v>0.625</v>
      </c>
      <c r="P25" s="337">
        <f t="shared" si="3"/>
        <v>0.625</v>
      </c>
      <c r="Q25" s="337">
        <f t="shared" si="3"/>
        <v>0.625</v>
      </c>
      <c r="R25" s="337">
        <f t="shared" si="3"/>
        <v>0.625</v>
      </c>
      <c r="S25" s="337"/>
      <c r="T25" s="291">
        <f>SUM(E25:S25)</f>
        <v>5</v>
      </c>
      <c r="U25" s="315" t="s">
        <v>162</v>
      </c>
      <c r="V25" s="316"/>
      <c r="W25" s="316"/>
      <c r="X25" s="317"/>
      <c r="Y25" s="98"/>
      <c r="Z25" s="338"/>
      <c r="AB25" s="289"/>
    </row>
    <row r="26" spans="1:28" s="94" customFormat="1" ht="50" customHeight="1" x14ac:dyDescent="0.35">
      <c r="A26" s="97"/>
      <c r="B26" s="292">
        <v>2</v>
      </c>
      <c r="C26" s="304" t="s">
        <v>163</v>
      </c>
      <c r="D26" s="293">
        <v>5</v>
      </c>
      <c r="E26" s="337"/>
      <c r="F26" s="337"/>
      <c r="G26" s="337"/>
      <c r="H26" s="337"/>
      <c r="I26" s="337"/>
      <c r="J26" s="337"/>
      <c r="K26" s="337"/>
      <c r="L26" s="337"/>
      <c r="M26" s="337"/>
      <c r="N26" s="337">
        <v>1</v>
      </c>
      <c r="O26" s="337">
        <v>1</v>
      </c>
      <c r="P26" s="337">
        <v>1</v>
      </c>
      <c r="Q26" s="337">
        <v>1</v>
      </c>
      <c r="R26" s="337">
        <v>1</v>
      </c>
      <c r="S26" s="337"/>
      <c r="T26" s="291">
        <f>SUM(E26:S26)</f>
        <v>5</v>
      </c>
      <c r="U26" s="315" t="s">
        <v>164</v>
      </c>
      <c r="V26" s="316"/>
      <c r="W26" s="316"/>
      <c r="X26" s="317"/>
      <c r="Y26" s="98"/>
      <c r="Z26" s="338"/>
      <c r="AB26" s="289"/>
    </row>
    <row r="27" spans="1:28" s="94" customFormat="1" ht="50" customHeight="1" x14ac:dyDescent="0.35">
      <c r="A27" s="97"/>
      <c r="B27" s="290" t="s">
        <v>165</v>
      </c>
      <c r="C27" s="340" t="s">
        <v>166</v>
      </c>
      <c r="D27" s="341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P27" s="337"/>
      <c r="Q27" s="337"/>
      <c r="R27" s="337"/>
      <c r="S27" s="337"/>
      <c r="T27" s="291"/>
      <c r="U27" s="433" t="s">
        <v>167</v>
      </c>
      <c r="V27" s="434"/>
      <c r="W27" s="434"/>
      <c r="X27" s="435"/>
      <c r="Y27" s="98"/>
      <c r="Z27" s="338"/>
      <c r="AB27" s="289"/>
    </row>
    <row r="28" spans="1:28" s="94" customFormat="1" ht="50" customHeight="1" x14ac:dyDescent="0.35">
      <c r="A28" s="97"/>
      <c r="B28" s="292">
        <v>1</v>
      </c>
      <c r="C28" s="305" t="s">
        <v>168</v>
      </c>
      <c r="D28" s="293">
        <v>30</v>
      </c>
      <c r="E28" s="337"/>
      <c r="F28" s="337"/>
      <c r="G28" s="337"/>
      <c r="H28" s="337"/>
      <c r="I28" s="337"/>
      <c r="J28" s="337">
        <v>1</v>
      </c>
      <c r="K28" s="337">
        <v>3</v>
      </c>
      <c r="L28" s="337">
        <v>4</v>
      </c>
      <c r="M28" s="337">
        <v>2</v>
      </c>
      <c r="N28" s="337">
        <v>4</v>
      </c>
      <c r="O28" s="337">
        <v>5</v>
      </c>
      <c r="P28" s="337">
        <v>5</v>
      </c>
      <c r="Q28" s="337">
        <v>2</v>
      </c>
      <c r="R28" s="337">
        <v>2</v>
      </c>
      <c r="S28" s="337">
        <v>2</v>
      </c>
      <c r="T28" s="291">
        <f>SUM(E28:S28)</f>
        <v>30</v>
      </c>
      <c r="U28" s="433" t="s">
        <v>169</v>
      </c>
      <c r="V28" s="434"/>
      <c r="W28" s="434"/>
      <c r="X28" s="435"/>
      <c r="Y28" s="98"/>
      <c r="Z28" s="338"/>
      <c r="AB28" s="289"/>
    </row>
    <row r="29" spans="1:28" s="94" customFormat="1" ht="50" customHeight="1" thickBot="1" x14ac:dyDescent="0.4">
      <c r="A29" s="97"/>
      <c r="B29" s="292"/>
      <c r="C29" s="305"/>
      <c r="D29" s="293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291"/>
      <c r="U29" s="433" t="s">
        <v>170</v>
      </c>
      <c r="V29" s="434"/>
      <c r="W29" s="434"/>
      <c r="X29" s="435"/>
      <c r="Y29" s="98"/>
      <c r="Z29" s="338"/>
      <c r="AB29" s="289"/>
    </row>
    <row r="30" spans="1:28" s="94" customFormat="1" ht="35" customHeight="1" thickTop="1" x14ac:dyDescent="0.35">
      <c r="A30" s="97"/>
      <c r="B30" s="294"/>
      <c r="C30" s="309" t="s">
        <v>28</v>
      </c>
      <c r="D30" s="295">
        <f>SUM(D15:D28)</f>
        <v>100</v>
      </c>
      <c r="E30" s="343">
        <f t="shared" ref="E30:S30" si="4">SUM(E14:E28)</f>
        <v>3</v>
      </c>
      <c r="F30" s="343">
        <f t="shared" si="4"/>
        <v>6.5</v>
      </c>
      <c r="G30" s="343">
        <f t="shared" si="4"/>
        <v>2.5</v>
      </c>
      <c r="H30" s="343">
        <f t="shared" si="4"/>
        <v>8</v>
      </c>
      <c r="I30" s="343">
        <f t="shared" si="4"/>
        <v>8</v>
      </c>
      <c r="J30" s="343">
        <f t="shared" si="4"/>
        <v>2</v>
      </c>
      <c r="K30" s="343">
        <f t="shared" si="4"/>
        <v>4.625</v>
      </c>
      <c r="L30" s="343">
        <f t="shared" si="4"/>
        <v>6.625</v>
      </c>
      <c r="M30" s="343">
        <f t="shared" si="4"/>
        <v>5.125</v>
      </c>
      <c r="N30" s="343">
        <f t="shared" si="4"/>
        <v>11.125</v>
      </c>
      <c r="O30" s="343">
        <f t="shared" si="4"/>
        <v>13.125</v>
      </c>
      <c r="P30" s="343">
        <f t="shared" si="4"/>
        <v>13.625</v>
      </c>
      <c r="Q30" s="343">
        <f t="shared" si="4"/>
        <v>10.125</v>
      </c>
      <c r="R30" s="343">
        <f t="shared" si="4"/>
        <v>3.625</v>
      </c>
      <c r="S30" s="343">
        <f t="shared" si="4"/>
        <v>2</v>
      </c>
      <c r="T30" s="295">
        <f>SUM(T15:T28)</f>
        <v>100</v>
      </c>
      <c r="U30" s="466"/>
      <c r="V30" s="467"/>
      <c r="W30" s="467"/>
      <c r="X30" s="468"/>
      <c r="Y30" s="98"/>
      <c r="Z30" s="320"/>
    </row>
    <row r="31" spans="1:28" s="94" customFormat="1" ht="35" customHeight="1" x14ac:dyDescent="0.35">
      <c r="A31" s="97"/>
      <c r="B31" s="296"/>
      <c r="C31" s="308" t="s">
        <v>171</v>
      </c>
      <c r="D31" s="297">
        <v>0</v>
      </c>
      <c r="E31" s="298">
        <f>D31+E30</f>
        <v>3</v>
      </c>
      <c r="F31" s="298">
        <f t="shared" ref="F31:S31" si="5">E31+F30</f>
        <v>9.5</v>
      </c>
      <c r="G31" s="298">
        <f t="shared" si="5"/>
        <v>12</v>
      </c>
      <c r="H31" s="298">
        <f t="shared" si="5"/>
        <v>20</v>
      </c>
      <c r="I31" s="298">
        <f t="shared" si="5"/>
        <v>28</v>
      </c>
      <c r="J31" s="298">
        <f t="shared" si="5"/>
        <v>30</v>
      </c>
      <c r="K31" s="298">
        <f t="shared" si="5"/>
        <v>34.625</v>
      </c>
      <c r="L31" s="298">
        <f t="shared" si="5"/>
        <v>41.25</v>
      </c>
      <c r="M31" s="298">
        <f t="shared" si="5"/>
        <v>46.375</v>
      </c>
      <c r="N31" s="298">
        <f t="shared" si="5"/>
        <v>57.5</v>
      </c>
      <c r="O31" s="298">
        <f t="shared" si="5"/>
        <v>70.625</v>
      </c>
      <c r="P31" s="298">
        <f t="shared" si="5"/>
        <v>84.25</v>
      </c>
      <c r="Q31" s="298">
        <f t="shared" si="5"/>
        <v>94.375</v>
      </c>
      <c r="R31" s="298">
        <f t="shared" si="5"/>
        <v>98</v>
      </c>
      <c r="S31" s="298">
        <f t="shared" si="5"/>
        <v>100</v>
      </c>
      <c r="T31" s="299"/>
      <c r="U31" s="469"/>
      <c r="V31" s="470"/>
      <c r="W31" s="470"/>
      <c r="X31" s="471"/>
      <c r="Y31" s="98"/>
      <c r="Z31" s="320"/>
    </row>
    <row r="32" spans="1:28" s="94" customFormat="1" ht="35" customHeight="1" thickBot="1" x14ac:dyDescent="0.4">
      <c r="A32" s="97"/>
      <c r="B32" s="300"/>
      <c r="C32" s="344"/>
      <c r="D32" s="299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299"/>
      <c r="U32" s="469"/>
      <c r="V32" s="470"/>
      <c r="W32" s="470"/>
      <c r="X32" s="471"/>
      <c r="Y32" s="98"/>
      <c r="Z32" s="320"/>
    </row>
    <row r="33" spans="2:24" ht="15" customHeight="1" thickTop="1" x14ac:dyDescent="0.35">
      <c r="B33" s="56"/>
      <c r="C33" s="345"/>
      <c r="D33" s="56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346"/>
      <c r="U33" s="346"/>
      <c r="V33" s="346"/>
      <c r="W33" s="346"/>
      <c r="X33" s="346"/>
    </row>
    <row r="34" spans="2:24" ht="15" customHeight="1" x14ac:dyDescent="0.35"/>
    <row r="35" spans="2:24" ht="20" customHeight="1" x14ac:dyDescent="0.45">
      <c r="C35" s="347" t="s">
        <v>105</v>
      </c>
      <c r="D35" s="348"/>
      <c r="E35" s="349"/>
      <c r="F35" s="347"/>
      <c r="G35" s="350"/>
      <c r="H35" s="349"/>
      <c r="I35" s="347" t="s">
        <v>51</v>
      </c>
      <c r="J35" s="349"/>
      <c r="K35" s="349"/>
      <c r="L35" s="347"/>
      <c r="M35" s="350"/>
      <c r="N35" s="349"/>
      <c r="O35" s="349"/>
      <c r="P35" s="349"/>
      <c r="Q35" s="349"/>
      <c r="R35" s="349"/>
      <c r="S35" s="349"/>
      <c r="T35" s="351" t="s">
        <v>181</v>
      </c>
      <c r="U35" s="352"/>
      <c r="V35" s="352"/>
      <c r="W35" s="118"/>
      <c r="X35" s="118"/>
    </row>
    <row r="36" spans="2:24" ht="20" customHeight="1" x14ac:dyDescent="0.45">
      <c r="C36" s="347" t="s">
        <v>130</v>
      </c>
      <c r="D36" s="348"/>
      <c r="E36" s="349"/>
      <c r="F36" s="347"/>
      <c r="G36" s="353"/>
      <c r="H36" s="349"/>
      <c r="I36" s="347" t="s">
        <v>130</v>
      </c>
      <c r="J36" s="349"/>
      <c r="K36" s="349"/>
      <c r="L36" s="347"/>
      <c r="M36" s="353"/>
      <c r="N36" s="349"/>
      <c r="O36" s="349"/>
      <c r="P36" s="349"/>
      <c r="Q36" s="349"/>
      <c r="R36" s="349"/>
      <c r="S36" s="349"/>
      <c r="T36" s="351" t="s">
        <v>34</v>
      </c>
      <c r="U36" s="349"/>
      <c r="V36" s="349"/>
      <c r="W36" s="120"/>
      <c r="X36" s="120"/>
    </row>
    <row r="37" spans="2:24" ht="20" customHeight="1" x14ac:dyDescent="0.45">
      <c r="C37" s="354"/>
      <c r="D37" s="354"/>
      <c r="E37" s="349"/>
      <c r="F37" s="354"/>
      <c r="G37" s="349"/>
      <c r="H37" s="349"/>
      <c r="I37" s="349"/>
      <c r="J37" s="349"/>
      <c r="K37" s="349"/>
      <c r="L37" s="354"/>
      <c r="M37" s="349"/>
      <c r="N37" s="349"/>
      <c r="O37" s="349"/>
      <c r="P37" s="349"/>
      <c r="Q37" s="349"/>
      <c r="R37" s="349"/>
      <c r="S37" s="349"/>
      <c r="T37" s="355"/>
      <c r="U37" s="349"/>
      <c r="V37" s="349"/>
      <c r="W37" s="120"/>
      <c r="X37" s="120"/>
    </row>
    <row r="38" spans="2:24" ht="20" customHeight="1" x14ac:dyDescent="0.45">
      <c r="C38" s="354"/>
      <c r="D38" s="354"/>
      <c r="E38" s="349"/>
      <c r="F38" s="354"/>
      <c r="G38" s="349"/>
      <c r="H38" s="349"/>
      <c r="I38" s="349"/>
      <c r="J38" s="349"/>
      <c r="K38" s="349"/>
      <c r="L38" s="354"/>
      <c r="M38" s="349"/>
      <c r="N38" s="349"/>
      <c r="O38" s="349"/>
      <c r="P38" s="349"/>
      <c r="Q38" s="349"/>
      <c r="R38" s="349"/>
      <c r="S38" s="349"/>
      <c r="T38" s="355"/>
      <c r="U38" s="349"/>
      <c r="V38" s="349"/>
      <c r="W38" s="120"/>
      <c r="X38" s="120"/>
    </row>
    <row r="39" spans="2:24" ht="20" customHeight="1" x14ac:dyDescent="0.45">
      <c r="C39" s="354"/>
      <c r="D39" s="354"/>
      <c r="E39" s="349"/>
      <c r="F39" s="354"/>
      <c r="G39" s="349"/>
      <c r="H39" s="349"/>
      <c r="I39" s="349"/>
      <c r="J39" s="349"/>
      <c r="K39" s="349"/>
      <c r="L39" s="354"/>
      <c r="M39" s="349"/>
      <c r="N39" s="349"/>
      <c r="O39" s="349"/>
      <c r="P39" s="349"/>
      <c r="Q39" s="349"/>
      <c r="R39" s="349"/>
      <c r="S39" s="349"/>
      <c r="T39" s="355"/>
      <c r="U39" s="349"/>
      <c r="V39" s="349"/>
      <c r="W39" s="120"/>
      <c r="X39" s="120"/>
    </row>
    <row r="40" spans="2:24" ht="20" customHeight="1" x14ac:dyDescent="0.45">
      <c r="C40" s="354"/>
      <c r="D40" s="354"/>
      <c r="E40" s="349"/>
      <c r="F40" s="354"/>
      <c r="G40" s="349"/>
      <c r="H40" s="349"/>
      <c r="I40" s="349"/>
      <c r="J40" s="349"/>
      <c r="K40" s="349"/>
      <c r="L40" s="354"/>
      <c r="M40" s="349"/>
      <c r="N40" s="349"/>
      <c r="O40" s="349"/>
      <c r="P40" s="349"/>
      <c r="Q40" s="349"/>
      <c r="R40" s="349"/>
      <c r="S40" s="349"/>
      <c r="T40" s="355"/>
      <c r="U40" s="349"/>
      <c r="V40" s="349"/>
      <c r="W40" s="120"/>
      <c r="X40" s="120"/>
    </row>
    <row r="41" spans="2:24" ht="20" customHeight="1" x14ac:dyDescent="0.45">
      <c r="C41" s="354"/>
      <c r="D41" s="354"/>
      <c r="E41" s="349"/>
      <c r="F41" s="354"/>
      <c r="G41" s="349"/>
      <c r="H41" s="349"/>
      <c r="I41" s="349"/>
      <c r="J41" s="349"/>
      <c r="K41" s="349"/>
      <c r="L41" s="354"/>
      <c r="M41" s="349"/>
      <c r="N41" s="349"/>
      <c r="O41" s="349"/>
      <c r="P41" s="349"/>
      <c r="Q41" s="349"/>
      <c r="R41" s="349"/>
      <c r="S41" s="349"/>
      <c r="T41" s="355"/>
      <c r="U41" s="349"/>
      <c r="V41" s="349"/>
      <c r="W41" s="120"/>
      <c r="X41" s="120"/>
    </row>
    <row r="42" spans="2:24" ht="20" customHeight="1" x14ac:dyDescent="0.45">
      <c r="C42" s="354"/>
      <c r="D42" s="354"/>
      <c r="E42" s="349"/>
      <c r="F42" s="354"/>
      <c r="G42" s="349"/>
      <c r="H42" s="349"/>
      <c r="I42" s="349"/>
      <c r="J42" s="349"/>
      <c r="K42" s="349"/>
      <c r="L42" s="354"/>
      <c r="M42" s="349"/>
      <c r="N42" s="349"/>
      <c r="O42" s="349"/>
      <c r="P42" s="349"/>
      <c r="Q42" s="349"/>
      <c r="R42" s="349"/>
      <c r="S42" s="349"/>
      <c r="T42" s="355"/>
      <c r="U42" s="349"/>
      <c r="V42" s="349"/>
      <c r="W42" s="120"/>
      <c r="X42" s="120"/>
    </row>
    <row r="43" spans="2:24" ht="20" customHeight="1" x14ac:dyDescent="0.45">
      <c r="B43" s="58"/>
      <c r="C43" s="356" t="s">
        <v>172</v>
      </c>
      <c r="D43" s="354"/>
      <c r="E43" s="349"/>
      <c r="F43" s="356"/>
      <c r="G43" s="357"/>
      <c r="H43" s="349"/>
      <c r="I43" s="356" t="s">
        <v>173</v>
      </c>
      <c r="J43" s="349"/>
      <c r="K43" s="349"/>
      <c r="L43" s="356"/>
      <c r="M43" s="357"/>
      <c r="N43" s="349"/>
      <c r="O43" s="349"/>
      <c r="P43" s="349"/>
      <c r="Q43" s="349"/>
      <c r="R43" s="349"/>
      <c r="S43" s="349"/>
      <c r="T43" s="358" t="str">
        <f>COVER!P36</f>
        <v>( Satriawan Gigih Pideksa )</v>
      </c>
      <c r="U43" s="359"/>
      <c r="V43" s="359"/>
      <c r="W43" s="122"/>
      <c r="X43" s="122"/>
    </row>
    <row r="44" spans="2:24" ht="20" customHeight="1" x14ac:dyDescent="0.45">
      <c r="B44" s="58"/>
      <c r="C44" s="354" t="s">
        <v>174</v>
      </c>
      <c r="D44" s="348"/>
      <c r="E44" s="349"/>
      <c r="F44" s="354"/>
      <c r="G44" s="350"/>
      <c r="H44" s="349"/>
      <c r="I44" s="354" t="s">
        <v>175</v>
      </c>
      <c r="J44" s="349"/>
      <c r="K44" s="349"/>
      <c r="L44" s="354"/>
      <c r="M44" s="350"/>
      <c r="N44" s="349"/>
      <c r="O44" s="349"/>
      <c r="P44" s="349"/>
      <c r="Q44" s="349"/>
      <c r="R44" s="349"/>
      <c r="S44" s="349"/>
      <c r="T44" s="360" t="str">
        <f>COVER!P37</f>
        <v>Team Leader</v>
      </c>
      <c r="U44" s="361"/>
      <c r="V44" s="361"/>
      <c r="W44" s="123"/>
      <c r="X44" s="123"/>
    </row>
    <row r="45" spans="2:24" ht="18.5" x14ac:dyDescent="0.45"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</row>
  </sheetData>
  <mergeCells count="21">
    <mergeCell ref="U28:X28"/>
    <mergeCell ref="U29:X29"/>
    <mergeCell ref="U30:X30"/>
    <mergeCell ref="U31:X31"/>
    <mergeCell ref="U32:X32"/>
    <mergeCell ref="U27:X27"/>
    <mergeCell ref="U3:X4"/>
    <mergeCell ref="B7:X7"/>
    <mergeCell ref="U8:X8"/>
    <mergeCell ref="U9:X9"/>
    <mergeCell ref="U10:X10"/>
    <mergeCell ref="B11:B13"/>
    <mergeCell ref="C11:C13"/>
    <mergeCell ref="D11:D12"/>
    <mergeCell ref="E11:S11"/>
    <mergeCell ref="T11:T13"/>
    <mergeCell ref="U11:X13"/>
    <mergeCell ref="E12:F12"/>
    <mergeCell ref="G12:J12"/>
    <mergeCell ref="K12:N12"/>
    <mergeCell ref="O12:S12"/>
  </mergeCells>
  <printOptions horizontalCentered="1"/>
  <pageMargins left="0.196850393700787" right="0.196850393700787" top="0.261811024" bottom="0.23622047244094499" header="3.9370078740157501E-2" footer="3.9370078740157501E-2"/>
  <pageSetup paperSize="9" scale="36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view="pageBreakPreview" zoomScale="70" zoomScaleNormal="55" zoomScaleSheetLayoutView="70" workbookViewId="0">
      <selection activeCell="D8" sqref="D8"/>
    </sheetView>
  </sheetViews>
  <sheetFormatPr defaultRowHeight="13" x14ac:dyDescent="0.3"/>
  <cols>
    <col min="1" max="1" width="7.1796875" style="93" customWidth="1"/>
    <col min="2" max="2" width="43.54296875" style="62" customWidth="1"/>
    <col min="3" max="4" width="8.7265625" style="62" customWidth="1"/>
    <col min="5" max="5" width="11" style="62" customWidth="1"/>
    <col min="6" max="6" width="18.26953125" style="67" customWidth="1"/>
    <col min="7" max="7" width="16.26953125" style="67" customWidth="1"/>
    <col min="8" max="8" width="17.1796875" style="67" customWidth="1"/>
    <col min="9" max="9" width="14.453125" style="67" customWidth="1"/>
    <col min="10" max="10" width="13.26953125" style="67" customWidth="1"/>
    <col min="11" max="11" width="13.1796875" style="67" customWidth="1"/>
    <col min="12" max="12" width="12.7265625" style="62" customWidth="1"/>
    <col min="13" max="13" width="4.1796875" style="62" customWidth="1"/>
    <col min="14" max="254" width="9.1796875" style="62"/>
    <col min="255" max="255" width="4.7265625" style="62" customWidth="1"/>
    <col min="256" max="256" width="12.54296875" style="62" customWidth="1"/>
    <col min="257" max="257" width="32.7265625" style="62" customWidth="1"/>
    <col min="258" max="258" width="9.453125" style="62" customWidth="1"/>
    <col min="259" max="259" width="7.453125" style="62" customWidth="1"/>
    <col min="260" max="260" width="8" style="62" customWidth="1"/>
    <col min="261" max="267" width="8.1796875" style="62" customWidth="1"/>
    <col min="268" max="268" width="20.26953125" style="62" customWidth="1"/>
    <col min="269" max="269" width="27.1796875" style="62" customWidth="1"/>
    <col min="270" max="510" width="9.1796875" style="62"/>
    <col min="511" max="511" width="4.7265625" style="62" customWidth="1"/>
    <col min="512" max="512" width="12.54296875" style="62" customWidth="1"/>
    <col min="513" max="513" width="32.7265625" style="62" customWidth="1"/>
    <col min="514" max="514" width="9.453125" style="62" customWidth="1"/>
    <col min="515" max="515" width="7.453125" style="62" customWidth="1"/>
    <col min="516" max="516" width="8" style="62" customWidth="1"/>
    <col min="517" max="523" width="8.1796875" style="62" customWidth="1"/>
    <col min="524" max="524" width="20.26953125" style="62" customWidth="1"/>
    <col min="525" max="525" width="27.1796875" style="62" customWidth="1"/>
    <col min="526" max="766" width="9.1796875" style="62"/>
    <col min="767" max="767" width="4.7265625" style="62" customWidth="1"/>
    <col min="768" max="768" width="12.54296875" style="62" customWidth="1"/>
    <col min="769" max="769" width="32.7265625" style="62" customWidth="1"/>
    <col min="770" max="770" width="9.453125" style="62" customWidth="1"/>
    <col min="771" max="771" width="7.453125" style="62" customWidth="1"/>
    <col min="772" max="772" width="8" style="62" customWidth="1"/>
    <col min="773" max="779" width="8.1796875" style="62" customWidth="1"/>
    <col min="780" max="780" width="20.26953125" style="62" customWidth="1"/>
    <col min="781" max="781" width="27.1796875" style="62" customWidth="1"/>
    <col min="782" max="1022" width="9.1796875" style="62"/>
    <col min="1023" max="1023" width="4.7265625" style="62" customWidth="1"/>
    <col min="1024" max="1024" width="12.54296875" style="62" customWidth="1"/>
    <col min="1025" max="1025" width="32.7265625" style="62" customWidth="1"/>
    <col min="1026" max="1026" width="9.453125" style="62" customWidth="1"/>
    <col min="1027" max="1027" width="7.453125" style="62" customWidth="1"/>
    <col min="1028" max="1028" width="8" style="62" customWidth="1"/>
    <col min="1029" max="1035" width="8.1796875" style="62" customWidth="1"/>
    <col min="1036" max="1036" width="20.26953125" style="62" customWidth="1"/>
    <col min="1037" max="1037" width="27.1796875" style="62" customWidth="1"/>
    <col min="1038" max="1278" width="9.1796875" style="62"/>
    <col min="1279" max="1279" width="4.7265625" style="62" customWidth="1"/>
    <col min="1280" max="1280" width="12.54296875" style="62" customWidth="1"/>
    <col min="1281" max="1281" width="32.7265625" style="62" customWidth="1"/>
    <col min="1282" max="1282" width="9.453125" style="62" customWidth="1"/>
    <col min="1283" max="1283" width="7.453125" style="62" customWidth="1"/>
    <col min="1284" max="1284" width="8" style="62" customWidth="1"/>
    <col min="1285" max="1291" width="8.1796875" style="62" customWidth="1"/>
    <col min="1292" max="1292" width="20.26953125" style="62" customWidth="1"/>
    <col min="1293" max="1293" width="27.1796875" style="62" customWidth="1"/>
    <col min="1294" max="1534" width="9.1796875" style="62"/>
    <col min="1535" max="1535" width="4.7265625" style="62" customWidth="1"/>
    <col min="1536" max="1536" width="12.54296875" style="62" customWidth="1"/>
    <col min="1537" max="1537" width="32.7265625" style="62" customWidth="1"/>
    <col min="1538" max="1538" width="9.453125" style="62" customWidth="1"/>
    <col min="1539" max="1539" width="7.453125" style="62" customWidth="1"/>
    <col min="1540" max="1540" width="8" style="62" customWidth="1"/>
    <col min="1541" max="1547" width="8.1796875" style="62" customWidth="1"/>
    <col min="1548" max="1548" width="20.26953125" style="62" customWidth="1"/>
    <col min="1549" max="1549" width="27.1796875" style="62" customWidth="1"/>
    <col min="1550" max="1790" width="9.1796875" style="62"/>
    <col min="1791" max="1791" width="4.7265625" style="62" customWidth="1"/>
    <col min="1792" max="1792" width="12.54296875" style="62" customWidth="1"/>
    <col min="1793" max="1793" width="32.7265625" style="62" customWidth="1"/>
    <col min="1794" max="1794" width="9.453125" style="62" customWidth="1"/>
    <col min="1795" max="1795" width="7.453125" style="62" customWidth="1"/>
    <col min="1796" max="1796" width="8" style="62" customWidth="1"/>
    <col min="1797" max="1803" width="8.1796875" style="62" customWidth="1"/>
    <col min="1804" max="1804" width="20.26953125" style="62" customWidth="1"/>
    <col min="1805" max="1805" width="27.1796875" style="62" customWidth="1"/>
    <col min="1806" max="2046" width="9.1796875" style="62"/>
    <col min="2047" max="2047" width="4.7265625" style="62" customWidth="1"/>
    <col min="2048" max="2048" width="12.54296875" style="62" customWidth="1"/>
    <col min="2049" max="2049" width="32.7265625" style="62" customWidth="1"/>
    <col min="2050" max="2050" width="9.453125" style="62" customWidth="1"/>
    <col min="2051" max="2051" width="7.453125" style="62" customWidth="1"/>
    <col min="2052" max="2052" width="8" style="62" customWidth="1"/>
    <col min="2053" max="2059" width="8.1796875" style="62" customWidth="1"/>
    <col min="2060" max="2060" width="20.26953125" style="62" customWidth="1"/>
    <col min="2061" max="2061" width="27.1796875" style="62" customWidth="1"/>
    <col min="2062" max="2302" width="9.1796875" style="62"/>
    <col min="2303" max="2303" width="4.7265625" style="62" customWidth="1"/>
    <col min="2304" max="2304" width="12.54296875" style="62" customWidth="1"/>
    <col min="2305" max="2305" width="32.7265625" style="62" customWidth="1"/>
    <col min="2306" max="2306" width="9.453125" style="62" customWidth="1"/>
    <col min="2307" max="2307" width="7.453125" style="62" customWidth="1"/>
    <col min="2308" max="2308" width="8" style="62" customWidth="1"/>
    <col min="2309" max="2315" width="8.1796875" style="62" customWidth="1"/>
    <col min="2316" max="2316" width="20.26953125" style="62" customWidth="1"/>
    <col min="2317" max="2317" width="27.1796875" style="62" customWidth="1"/>
    <col min="2318" max="2558" width="9.1796875" style="62"/>
    <col min="2559" max="2559" width="4.7265625" style="62" customWidth="1"/>
    <col min="2560" max="2560" width="12.54296875" style="62" customWidth="1"/>
    <col min="2561" max="2561" width="32.7265625" style="62" customWidth="1"/>
    <col min="2562" max="2562" width="9.453125" style="62" customWidth="1"/>
    <col min="2563" max="2563" width="7.453125" style="62" customWidth="1"/>
    <col min="2564" max="2564" width="8" style="62" customWidth="1"/>
    <col min="2565" max="2571" width="8.1796875" style="62" customWidth="1"/>
    <col min="2572" max="2572" width="20.26953125" style="62" customWidth="1"/>
    <col min="2573" max="2573" width="27.1796875" style="62" customWidth="1"/>
    <col min="2574" max="2814" width="9.1796875" style="62"/>
    <col min="2815" max="2815" width="4.7265625" style="62" customWidth="1"/>
    <col min="2816" max="2816" width="12.54296875" style="62" customWidth="1"/>
    <col min="2817" max="2817" width="32.7265625" style="62" customWidth="1"/>
    <col min="2818" max="2818" width="9.453125" style="62" customWidth="1"/>
    <col min="2819" max="2819" width="7.453125" style="62" customWidth="1"/>
    <col min="2820" max="2820" width="8" style="62" customWidth="1"/>
    <col min="2821" max="2827" width="8.1796875" style="62" customWidth="1"/>
    <col min="2828" max="2828" width="20.26953125" style="62" customWidth="1"/>
    <col min="2829" max="2829" width="27.1796875" style="62" customWidth="1"/>
    <col min="2830" max="3070" width="9.1796875" style="62"/>
    <col min="3071" max="3071" width="4.7265625" style="62" customWidth="1"/>
    <col min="3072" max="3072" width="12.54296875" style="62" customWidth="1"/>
    <col min="3073" max="3073" width="32.7265625" style="62" customWidth="1"/>
    <col min="3074" max="3074" width="9.453125" style="62" customWidth="1"/>
    <col min="3075" max="3075" width="7.453125" style="62" customWidth="1"/>
    <col min="3076" max="3076" width="8" style="62" customWidth="1"/>
    <col min="3077" max="3083" width="8.1796875" style="62" customWidth="1"/>
    <col min="3084" max="3084" width="20.26953125" style="62" customWidth="1"/>
    <col min="3085" max="3085" width="27.1796875" style="62" customWidth="1"/>
    <col min="3086" max="3326" width="9.1796875" style="62"/>
    <col min="3327" max="3327" width="4.7265625" style="62" customWidth="1"/>
    <col min="3328" max="3328" width="12.54296875" style="62" customWidth="1"/>
    <col min="3329" max="3329" width="32.7265625" style="62" customWidth="1"/>
    <col min="3330" max="3330" width="9.453125" style="62" customWidth="1"/>
    <col min="3331" max="3331" width="7.453125" style="62" customWidth="1"/>
    <col min="3332" max="3332" width="8" style="62" customWidth="1"/>
    <col min="3333" max="3339" width="8.1796875" style="62" customWidth="1"/>
    <col min="3340" max="3340" width="20.26953125" style="62" customWidth="1"/>
    <col min="3341" max="3341" width="27.1796875" style="62" customWidth="1"/>
    <col min="3342" max="3582" width="9.1796875" style="62"/>
    <col min="3583" max="3583" width="4.7265625" style="62" customWidth="1"/>
    <col min="3584" max="3584" width="12.54296875" style="62" customWidth="1"/>
    <col min="3585" max="3585" width="32.7265625" style="62" customWidth="1"/>
    <col min="3586" max="3586" width="9.453125" style="62" customWidth="1"/>
    <col min="3587" max="3587" width="7.453125" style="62" customWidth="1"/>
    <col min="3588" max="3588" width="8" style="62" customWidth="1"/>
    <col min="3589" max="3595" width="8.1796875" style="62" customWidth="1"/>
    <col min="3596" max="3596" width="20.26953125" style="62" customWidth="1"/>
    <col min="3597" max="3597" width="27.1796875" style="62" customWidth="1"/>
    <col min="3598" max="3838" width="9.1796875" style="62"/>
    <col min="3839" max="3839" width="4.7265625" style="62" customWidth="1"/>
    <col min="3840" max="3840" width="12.54296875" style="62" customWidth="1"/>
    <col min="3841" max="3841" width="32.7265625" style="62" customWidth="1"/>
    <col min="3842" max="3842" width="9.453125" style="62" customWidth="1"/>
    <col min="3843" max="3843" width="7.453125" style="62" customWidth="1"/>
    <col min="3844" max="3844" width="8" style="62" customWidth="1"/>
    <col min="3845" max="3851" width="8.1796875" style="62" customWidth="1"/>
    <col min="3852" max="3852" width="20.26953125" style="62" customWidth="1"/>
    <col min="3853" max="3853" width="27.1796875" style="62" customWidth="1"/>
    <col min="3854" max="4094" width="9.1796875" style="62"/>
    <col min="4095" max="4095" width="4.7265625" style="62" customWidth="1"/>
    <col min="4096" max="4096" width="12.54296875" style="62" customWidth="1"/>
    <col min="4097" max="4097" width="32.7265625" style="62" customWidth="1"/>
    <col min="4098" max="4098" width="9.453125" style="62" customWidth="1"/>
    <col min="4099" max="4099" width="7.453125" style="62" customWidth="1"/>
    <col min="4100" max="4100" width="8" style="62" customWidth="1"/>
    <col min="4101" max="4107" width="8.1796875" style="62" customWidth="1"/>
    <col min="4108" max="4108" width="20.26953125" style="62" customWidth="1"/>
    <col min="4109" max="4109" width="27.1796875" style="62" customWidth="1"/>
    <col min="4110" max="4350" width="9.1796875" style="62"/>
    <col min="4351" max="4351" width="4.7265625" style="62" customWidth="1"/>
    <col min="4352" max="4352" width="12.54296875" style="62" customWidth="1"/>
    <col min="4353" max="4353" width="32.7265625" style="62" customWidth="1"/>
    <col min="4354" max="4354" width="9.453125" style="62" customWidth="1"/>
    <col min="4355" max="4355" width="7.453125" style="62" customWidth="1"/>
    <col min="4356" max="4356" width="8" style="62" customWidth="1"/>
    <col min="4357" max="4363" width="8.1796875" style="62" customWidth="1"/>
    <col min="4364" max="4364" width="20.26953125" style="62" customWidth="1"/>
    <col min="4365" max="4365" width="27.1796875" style="62" customWidth="1"/>
    <col min="4366" max="4606" width="9.1796875" style="62"/>
    <col min="4607" max="4607" width="4.7265625" style="62" customWidth="1"/>
    <col min="4608" max="4608" width="12.54296875" style="62" customWidth="1"/>
    <col min="4609" max="4609" width="32.7265625" style="62" customWidth="1"/>
    <col min="4610" max="4610" width="9.453125" style="62" customWidth="1"/>
    <col min="4611" max="4611" width="7.453125" style="62" customWidth="1"/>
    <col min="4612" max="4612" width="8" style="62" customWidth="1"/>
    <col min="4613" max="4619" width="8.1796875" style="62" customWidth="1"/>
    <col min="4620" max="4620" width="20.26953125" style="62" customWidth="1"/>
    <col min="4621" max="4621" width="27.1796875" style="62" customWidth="1"/>
    <col min="4622" max="4862" width="9.1796875" style="62"/>
    <col min="4863" max="4863" width="4.7265625" style="62" customWidth="1"/>
    <col min="4864" max="4864" width="12.54296875" style="62" customWidth="1"/>
    <col min="4865" max="4865" width="32.7265625" style="62" customWidth="1"/>
    <col min="4866" max="4866" width="9.453125" style="62" customWidth="1"/>
    <col min="4867" max="4867" width="7.453125" style="62" customWidth="1"/>
    <col min="4868" max="4868" width="8" style="62" customWidth="1"/>
    <col min="4869" max="4875" width="8.1796875" style="62" customWidth="1"/>
    <col min="4876" max="4876" width="20.26953125" style="62" customWidth="1"/>
    <col min="4877" max="4877" width="27.1796875" style="62" customWidth="1"/>
    <col min="4878" max="5118" width="9.1796875" style="62"/>
    <col min="5119" max="5119" width="4.7265625" style="62" customWidth="1"/>
    <col min="5120" max="5120" width="12.54296875" style="62" customWidth="1"/>
    <col min="5121" max="5121" width="32.7265625" style="62" customWidth="1"/>
    <col min="5122" max="5122" width="9.453125" style="62" customWidth="1"/>
    <col min="5123" max="5123" width="7.453125" style="62" customWidth="1"/>
    <col min="5124" max="5124" width="8" style="62" customWidth="1"/>
    <col min="5125" max="5131" width="8.1796875" style="62" customWidth="1"/>
    <col min="5132" max="5132" width="20.26953125" style="62" customWidth="1"/>
    <col min="5133" max="5133" width="27.1796875" style="62" customWidth="1"/>
    <col min="5134" max="5374" width="9.1796875" style="62"/>
    <col min="5375" max="5375" width="4.7265625" style="62" customWidth="1"/>
    <col min="5376" max="5376" width="12.54296875" style="62" customWidth="1"/>
    <col min="5377" max="5377" width="32.7265625" style="62" customWidth="1"/>
    <col min="5378" max="5378" width="9.453125" style="62" customWidth="1"/>
    <col min="5379" max="5379" width="7.453125" style="62" customWidth="1"/>
    <col min="5380" max="5380" width="8" style="62" customWidth="1"/>
    <col min="5381" max="5387" width="8.1796875" style="62" customWidth="1"/>
    <col min="5388" max="5388" width="20.26953125" style="62" customWidth="1"/>
    <col min="5389" max="5389" width="27.1796875" style="62" customWidth="1"/>
    <col min="5390" max="5630" width="9.1796875" style="62"/>
    <col min="5631" max="5631" width="4.7265625" style="62" customWidth="1"/>
    <col min="5632" max="5632" width="12.54296875" style="62" customWidth="1"/>
    <col min="5633" max="5633" width="32.7265625" style="62" customWidth="1"/>
    <col min="5634" max="5634" width="9.453125" style="62" customWidth="1"/>
    <col min="5635" max="5635" width="7.453125" style="62" customWidth="1"/>
    <col min="5636" max="5636" width="8" style="62" customWidth="1"/>
    <col min="5637" max="5643" width="8.1796875" style="62" customWidth="1"/>
    <col min="5644" max="5644" width="20.26953125" style="62" customWidth="1"/>
    <col min="5645" max="5645" width="27.1796875" style="62" customWidth="1"/>
    <col min="5646" max="5886" width="9.1796875" style="62"/>
    <col min="5887" max="5887" width="4.7265625" style="62" customWidth="1"/>
    <col min="5888" max="5888" width="12.54296875" style="62" customWidth="1"/>
    <col min="5889" max="5889" width="32.7265625" style="62" customWidth="1"/>
    <col min="5890" max="5890" width="9.453125" style="62" customWidth="1"/>
    <col min="5891" max="5891" width="7.453125" style="62" customWidth="1"/>
    <col min="5892" max="5892" width="8" style="62" customWidth="1"/>
    <col min="5893" max="5899" width="8.1796875" style="62" customWidth="1"/>
    <col min="5900" max="5900" width="20.26953125" style="62" customWidth="1"/>
    <col min="5901" max="5901" width="27.1796875" style="62" customWidth="1"/>
    <col min="5902" max="6142" width="9.1796875" style="62"/>
    <col min="6143" max="6143" width="4.7265625" style="62" customWidth="1"/>
    <col min="6144" max="6144" width="12.54296875" style="62" customWidth="1"/>
    <col min="6145" max="6145" width="32.7265625" style="62" customWidth="1"/>
    <col min="6146" max="6146" width="9.453125" style="62" customWidth="1"/>
    <col min="6147" max="6147" width="7.453125" style="62" customWidth="1"/>
    <col min="6148" max="6148" width="8" style="62" customWidth="1"/>
    <col min="6149" max="6155" width="8.1796875" style="62" customWidth="1"/>
    <col min="6156" max="6156" width="20.26953125" style="62" customWidth="1"/>
    <col min="6157" max="6157" width="27.1796875" style="62" customWidth="1"/>
    <col min="6158" max="6398" width="9.1796875" style="62"/>
    <col min="6399" max="6399" width="4.7265625" style="62" customWidth="1"/>
    <col min="6400" max="6400" width="12.54296875" style="62" customWidth="1"/>
    <col min="6401" max="6401" width="32.7265625" style="62" customWidth="1"/>
    <col min="6402" max="6402" width="9.453125" style="62" customWidth="1"/>
    <col min="6403" max="6403" width="7.453125" style="62" customWidth="1"/>
    <col min="6404" max="6404" width="8" style="62" customWidth="1"/>
    <col min="6405" max="6411" width="8.1796875" style="62" customWidth="1"/>
    <col min="6412" max="6412" width="20.26953125" style="62" customWidth="1"/>
    <col min="6413" max="6413" width="27.1796875" style="62" customWidth="1"/>
    <col min="6414" max="6654" width="9.1796875" style="62"/>
    <col min="6655" max="6655" width="4.7265625" style="62" customWidth="1"/>
    <col min="6656" max="6656" width="12.54296875" style="62" customWidth="1"/>
    <col min="6657" max="6657" width="32.7265625" style="62" customWidth="1"/>
    <col min="6658" max="6658" width="9.453125" style="62" customWidth="1"/>
    <col min="6659" max="6659" width="7.453125" style="62" customWidth="1"/>
    <col min="6660" max="6660" width="8" style="62" customWidth="1"/>
    <col min="6661" max="6667" width="8.1796875" style="62" customWidth="1"/>
    <col min="6668" max="6668" width="20.26953125" style="62" customWidth="1"/>
    <col min="6669" max="6669" width="27.1796875" style="62" customWidth="1"/>
    <col min="6670" max="6910" width="9.1796875" style="62"/>
    <col min="6911" max="6911" width="4.7265625" style="62" customWidth="1"/>
    <col min="6912" max="6912" width="12.54296875" style="62" customWidth="1"/>
    <col min="6913" max="6913" width="32.7265625" style="62" customWidth="1"/>
    <col min="6914" max="6914" width="9.453125" style="62" customWidth="1"/>
    <col min="6915" max="6915" width="7.453125" style="62" customWidth="1"/>
    <col min="6916" max="6916" width="8" style="62" customWidth="1"/>
    <col min="6917" max="6923" width="8.1796875" style="62" customWidth="1"/>
    <col min="6924" max="6924" width="20.26953125" style="62" customWidth="1"/>
    <col min="6925" max="6925" width="27.1796875" style="62" customWidth="1"/>
    <col min="6926" max="7166" width="9.1796875" style="62"/>
    <col min="7167" max="7167" width="4.7265625" style="62" customWidth="1"/>
    <col min="7168" max="7168" width="12.54296875" style="62" customWidth="1"/>
    <col min="7169" max="7169" width="32.7265625" style="62" customWidth="1"/>
    <col min="7170" max="7170" width="9.453125" style="62" customWidth="1"/>
    <col min="7171" max="7171" width="7.453125" style="62" customWidth="1"/>
    <col min="7172" max="7172" width="8" style="62" customWidth="1"/>
    <col min="7173" max="7179" width="8.1796875" style="62" customWidth="1"/>
    <col min="7180" max="7180" width="20.26953125" style="62" customWidth="1"/>
    <col min="7181" max="7181" width="27.1796875" style="62" customWidth="1"/>
    <col min="7182" max="7422" width="9.1796875" style="62"/>
    <col min="7423" max="7423" width="4.7265625" style="62" customWidth="1"/>
    <col min="7424" max="7424" width="12.54296875" style="62" customWidth="1"/>
    <col min="7425" max="7425" width="32.7265625" style="62" customWidth="1"/>
    <col min="7426" max="7426" width="9.453125" style="62" customWidth="1"/>
    <col min="7427" max="7427" width="7.453125" style="62" customWidth="1"/>
    <col min="7428" max="7428" width="8" style="62" customWidth="1"/>
    <col min="7429" max="7435" width="8.1796875" style="62" customWidth="1"/>
    <col min="7436" max="7436" width="20.26953125" style="62" customWidth="1"/>
    <col min="7437" max="7437" width="27.1796875" style="62" customWidth="1"/>
    <col min="7438" max="7678" width="9.1796875" style="62"/>
    <col min="7679" max="7679" width="4.7265625" style="62" customWidth="1"/>
    <col min="7680" max="7680" width="12.54296875" style="62" customWidth="1"/>
    <col min="7681" max="7681" width="32.7265625" style="62" customWidth="1"/>
    <col min="7682" max="7682" width="9.453125" style="62" customWidth="1"/>
    <col min="7683" max="7683" width="7.453125" style="62" customWidth="1"/>
    <col min="7684" max="7684" width="8" style="62" customWidth="1"/>
    <col min="7685" max="7691" width="8.1796875" style="62" customWidth="1"/>
    <col min="7692" max="7692" width="20.26953125" style="62" customWidth="1"/>
    <col min="7693" max="7693" width="27.1796875" style="62" customWidth="1"/>
    <col min="7694" max="7934" width="9.1796875" style="62"/>
    <col min="7935" max="7935" width="4.7265625" style="62" customWidth="1"/>
    <col min="7936" max="7936" width="12.54296875" style="62" customWidth="1"/>
    <col min="7937" max="7937" width="32.7265625" style="62" customWidth="1"/>
    <col min="7938" max="7938" width="9.453125" style="62" customWidth="1"/>
    <col min="7939" max="7939" width="7.453125" style="62" customWidth="1"/>
    <col min="7940" max="7940" width="8" style="62" customWidth="1"/>
    <col min="7941" max="7947" width="8.1796875" style="62" customWidth="1"/>
    <col min="7948" max="7948" width="20.26953125" style="62" customWidth="1"/>
    <col min="7949" max="7949" width="27.1796875" style="62" customWidth="1"/>
    <col min="7950" max="8190" width="9.1796875" style="62"/>
    <col min="8191" max="8191" width="4.7265625" style="62" customWidth="1"/>
    <col min="8192" max="8192" width="12.54296875" style="62" customWidth="1"/>
    <col min="8193" max="8193" width="32.7265625" style="62" customWidth="1"/>
    <col min="8194" max="8194" width="9.453125" style="62" customWidth="1"/>
    <col min="8195" max="8195" width="7.453125" style="62" customWidth="1"/>
    <col min="8196" max="8196" width="8" style="62" customWidth="1"/>
    <col min="8197" max="8203" width="8.1796875" style="62" customWidth="1"/>
    <col min="8204" max="8204" width="20.26953125" style="62" customWidth="1"/>
    <col min="8205" max="8205" width="27.1796875" style="62" customWidth="1"/>
    <col min="8206" max="8446" width="9.1796875" style="62"/>
    <col min="8447" max="8447" width="4.7265625" style="62" customWidth="1"/>
    <col min="8448" max="8448" width="12.54296875" style="62" customWidth="1"/>
    <col min="8449" max="8449" width="32.7265625" style="62" customWidth="1"/>
    <col min="8450" max="8450" width="9.453125" style="62" customWidth="1"/>
    <col min="8451" max="8451" width="7.453125" style="62" customWidth="1"/>
    <col min="8452" max="8452" width="8" style="62" customWidth="1"/>
    <col min="8453" max="8459" width="8.1796875" style="62" customWidth="1"/>
    <col min="8460" max="8460" width="20.26953125" style="62" customWidth="1"/>
    <col min="8461" max="8461" width="27.1796875" style="62" customWidth="1"/>
    <col min="8462" max="8702" width="9.1796875" style="62"/>
    <col min="8703" max="8703" width="4.7265625" style="62" customWidth="1"/>
    <col min="8704" max="8704" width="12.54296875" style="62" customWidth="1"/>
    <col min="8705" max="8705" width="32.7265625" style="62" customWidth="1"/>
    <col min="8706" max="8706" width="9.453125" style="62" customWidth="1"/>
    <col min="8707" max="8707" width="7.453125" style="62" customWidth="1"/>
    <col min="8708" max="8708" width="8" style="62" customWidth="1"/>
    <col min="8709" max="8715" width="8.1796875" style="62" customWidth="1"/>
    <col min="8716" max="8716" width="20.26953125" style="62" customWidth="1"/>
    <col min="8717" max="8717" width="27.1796875" style="62" customWidth="1"/>
    <col min="8718" max="8958" width="9.1796875" style="62"/>
    <col min="8959" max="8959" width="4.7265625" style="62" customWidth="1"/>
    <col min="8960" max="8960" width="12.54296875" style="62" customWidth="1"/>
    <col min="8961" max="8961" width="32.7265625" style="62" customWidth="1"/>
    <col min="8962" max="8962" width="9.453125" style="62" customWidth="1"/>
    <col min="8963" max="8963" width="7.453125" style="62" customWidth="1"/>
    <col min="8964" max="8964" width="8" style="62" customWidth="1"/>
    <col min="8965" max="8971" width="8.1796875" style="62" customWidth="1"/>
    <col min="8972" max="8972" width="20.26953125" style="62" customWidth="1"/>
    <col min="8973" max="8973" width="27.1796875" style="62" customWidth="1"/>
    <col min="8974" max="9214" width="9.1796875" style="62"/>
    <col min="9215" max="9215" width="4.7265625" style="62" customWidth="1"/>
    <col min="9216" max="9216" width="12.54296875" style="62" customWidth="1"/>
    <col min="9217" max="9217" width="32.7265625" style="62" customWidth="1"/>
    <col min="9218" max="9218" width="9.453125" style="62" customWidth="1"/>
    <col min="9219" max="9219" width="7.453125" style="62" customWidth="1"/>
    <col min="9220" max="9220" width="8" style="62" customWidth="1"/>
    <col min="9221" max="9227" width="8.1796875" style="62" customWidth="1"/>
    <col min="9228" max="9228" width="20.26953125" style="62" customWidth="1"/>
    <col min="9229" max="9229" width="27.1796875" style="62" customWidth="1"/>
    <col min="9230" max="9470" width="9.1796875" style="62"/>
    <col min="9471" max="9471" width="4.7265625" style="62" customWidth="1"/>
    <col min="9472" max="9472" width="12.54296875" style="62" customWidth="1"/>
    <col min="9473" max="9473" width="32.7265625" style="62" customWidth="1"/>
    <col min="9474" max="9474" width="9.453125" style="62" customWidth="1"/>
    <col min="9475" max="9475" width="7.453125" style="62" customWidth="1"/>
    <col min="9476" max="9476" width="8" style="62" customWidth="1"/>
    <col min="9477" max="9483" width="8.1796875" style="62" customWidth="1"/>
    <col min="9484" max="9484" width="20.26953125" style="62" customWidth="1"/>
    <col min="9485" max="9485" width="27.1796875" style="62" customWidth="1"/>
    <col min="9486" max="9726" width="9.1796875" style="62"/>
    <col min="9727" max="9727" width="4.7265625" style="62" customWidth="1"/>
    <col min="9728" max="9728" width="12.54296875" style="62" customWidth="1"/>
    <col min="9729" max="9729" width="32.7265625" style="62" customWidth="1"/>
    <col min="9730" max="9730" width="9.453125" style="62" customWidth="1"/>
    <col min="9731" max="9731" width="7.453125" style="62" customWidth="1"/>
    <col min="9732" max="9732" width="8" style="62" customWidth="1"/>
    <col min="9733" max="9739" width="8.1796875" style="62" customWidth="1"/>
    <col min="9740" max="9740" width="20.26953125" style="62" customWidth="1"/>
    <col min="9741" max="9741" width="27.1796875" style="62" customWidth="1"/>
    <col min="9742" max="9982" width="9.1796875" style="62"/>
    <col min="9983" max="9983" width="4.7265625" style="62" customWidth="1"/>
    <col min="9984" max="9984" width="12.54296875" style="62" customWidth="1"/>
    <col min="9985" max="9985" width="32.7265625" style="62" customWidth="1"/>
    <col min="9986" max="9986" width="9.453125" style="62" customWidth="1"/>
    <col min="9987" max="9987" width="7.453125" style="62" customWidth="1"/>
    <col min="9988" max="9988" width="8" style="62" customWidth="1"/>
    <col min="9989" max="9995" width="8.1796875" style="62" customWidth="1"/>
    <col min="9996" max="9996" width="20.26953125" style="62" customWidth="1"/>
    <col min="9997" max="9997" width="27.1796875" style="62" customWidth="1"/>
    <col min="9998" max="10238" width="9.1796875" style="62"/>
    <col min="10239" max="10239" width="4.7265625" style="62" customWidth="1"/>
    <col min="10240" max="10240" width="12.54296875" style="62" customWidth="1"/>
    <col min="10241" max="10241" width="32.7265625" style="62" customWidth="1"/>
    <col min="10242" max="10242" width="9.453125" style="62" customWidth="1"/>
    <col min="10243" max="10243" width="7.453125" style="62" customWidth="1"/>
    <col min="10244" max="10244" width="8" style="62" customWidth="1"/>
    <col min="10245" max="10251" width="8.1796875" style="62" customWidth="1"/>
    <col min="10252" max="10252" width="20.26953125" style="62" customWidth="1"/>
    <col min="10253" max="10253" width="27.1796875" style="62" customWidth="1"/>
    <col min="10254" max="10494" width="9.1796875" style="62"/>
    <col min="10495" max="10495" width="4.7265625" style="62" customWidth="1"/>
    <col min="10496" max="10496" width="12.54296875" style="62" customWidth="1"/>
    <col min="10497" max="10497" width="32.7265625" style="62" customWidth="1"/>
    <col min="10498" max="10498" width="9.453125" style="62" customWidth="1"/>
    <col min="10499" max="10499" width="7.453125" style="62" customWidth="1"/>
    <col min="10500" max="10500" width="8" style="62" customWidth="1"/>
    <col min="10501" max="10507" width="8.1796875" style="62" customWidth="1"/>
    <col min="10508" max="10508" width="20.26953125" style="62" customWidth="1"/>
    <col min="10509" max="10509" width="27.1796875" style="62" customWidth="1"/>
    <col min="10510" max="10750" width="9.1796875" style="62"/>
    <col min="10751" max="10751" width="4.7265625" style="62" customWidth="1"/>
    <col min="10752" max="10752" width="12.54296875" style="62" customWidth="1"/>
    <col min="10753" max="10753" width="32.7265625" style="62" customWidth="1"/>
    <col min="10754" max="10754" width="9.453125" style="62" customWidth="1"/>
    <col min="10755" max="10755" width="7.453125" style="62" customWidth="1"/>
    <col min="10756" max="10756" width="8" style="62" customWidth="1"/>
    <col min="10757" max="10763" width="8.1796875" style="62" customWidth="1"/>
    <col min="10764" max="10764" width="20.26953125" style="62" customWidth="1"/>
    <col min="10765" max="10765" width="27.1796875" style="62" customWidth="1"/>
    <col min="10766" max="11006" width="9.1796875" style="62"/>
    <col min="11007" max="11007" width="4.7265625" style="62" customWidth="1"/>
    <col min="11008" max="11008" width="12.54296875" style="62" customWidth="1"/>
    <col min="11009" max="11009" width="32.7265625" style="62" customWidth="1"/>
    <col min="11010" max="11010" width="9.453125" style="62" customWidth="1"/>
    <col min="11011" max="11011" width="7.453125" style="62" customWidth="1"/>
    <col min="11012" max="11012" width="8" style="62" customWidth="1"/>
    <col min="11013" max="11019" width="8.1796875" style="62" customWidth="1"/>
    <col min="11020" max="11020" width="20.26953125" style="62" customWidth="1"/>
    <col min="11021" max="11021" width="27.1796875" style="62" customWidth="1"/>
    <col min="11022" max="11262" width="9.1796875" style="62"/>
    <col min="11263" max="11263" width="4.7265625" style="62" customWidth="1"/>
    <col min="11264" max="11264" width="12.54296875" style="62" customWidth="1"/>
    <col min="11265" max="11265" width="32.7265625" style="62" customWidth="1"/>
    <col min="11266" max="11266" width="9.453125" style="62" customWidth="1"/>
    <col min="11267" max="11267" width="7.453125" style="62" customWidth="1"/>
    <col min="11268" max="11268" width="8" style="62" customWidth="1"/>
    <col min="11269" max="11275" width="8.1796875" style="62" customWidth="1"/>
    <col min="11276" max="11276" width="20.26953125" style="62" customWidth="1"/>
    <col min="11277" max="11277" width="27.1796875" style="62" customWidth="1"/>
    <col min="11278" max="11518" width="9.1796875" style="62"/>
    <col min="11519" max="11519" width="4.7265625" style="62" customWidth="1"/>
    <col min="11520" max="11520" width="12.54296875" style="62" customWidth="1"/>
    <col min="11521" max="11521" width="32.7265625" style="62" customWidth="1"/>
    <col min="11522" max="11522" width="9.453125" style="62" customWidth="1"/>
    <col min="11523" max="11523" width="7.453125" style="62" customWidth="1"/>
    <col min="11524" max="11524" width="8" style="62" customWidth="1"/>
    <col min="11525" max="11531" width="8.1796875" style="62" customWidth="1"/>
    <col min="11532" max="11532" width="20.26953125" style="62" customWidth="1"/>
    <col min="11533" max="11533" width="27.1796875" style="62" customWidth="1"/>
    <col min="11534" max="11774" width="9.1796875" style="62"/>
    <col min="11775" max="11775" width="4.7265625" style="62" customWidth="1"/>
    <col min="11776" max="11776" width="12.54296875" style="62" customWidth="1"/>
    <col min="11777" max="11777" width="32.7265625" style="62" customWidth="1"/>
    <col min="11778" max="11778" width="9.453125" style="62" customWidth="1"/>
    <col min="11779" max="11779" width="7.453125" style="62" customWidth="1"/>
    <col min="11780" max="11780" width="8" style="62" customWidth="1"/>
    <col min="11781" max="11787" width="8.1796875" style="62" customWidth="1"/>
    <col min="11788" max="11788" width="20.26953125" style="62" customWidth="1"/>
    <col min="11789" max="11789" width="27.1796875" style="62" customWidth="1"/>
    <col min="11790" max="12030" width="9.1796875" style="62"/>
    <col min="12031" max="12031" width="4.7265625" style="62" customWidth="1"/>
    <col min="12032" max="12032" width="12.54296875" style="62" customWidth="1"/>
    <col min="12033" max="12033" width="32.7265625" style="62" customWidth="1"/>
    <col min="12034" max="12034" width="9.453125" style="62" customWidth="1"/>
    <col min="12035" max="12035" width="7.453125" style="62" customWidth="1"/>
    <col min="12036" max="12036" width="8" style="62" customWidth="1"/>
    <col min="12037" max="12043" width="8.1796875" style="62" customWidth="1"/>
    <col min="12044" max="12044" width="20.26953125" style="62" customWidth="1"/>
    <col min="12045" max="12045" width="27.1796875" style="62" customWidth="1"/>
    <col min="12046" max="12286" width="9.1796875" style="62"/>
    <col min="12287" max="12287" width="4.7265625" style="62" customWidth="1"/>
    <col min="12288" max="12288" width="12.54296875" style="62" customWidth="1"/>
    <col min="12289" max="12289" width="32.7265625" style="62" customWidth="1"/>
    <col min="12290" max="12290" width="9.453125" style="62" customWidth="1"/>
    <col min="12291" max="12291" width="7.453125" style="62" customWidth="1"/>
    <col min="12292" max="12292" width="8" style="62" customWidth="1"/>
    <col min="12293" max="12299" width="8.1796875" style="62" customWidth="1"/>
    <col min="12300" max="12300" width="20.26953125" style="62" customWidth="1"/>
    <col min="12301" max="12301" width="27.1796875" style="62" customWidth="1"/>
    <col min="12302" max="12542" width="9.1796875" style="62"/>
    <col min="12543" max="12543" width="4.7265625" style="62" customWidth="1"/>
    <col min="12544" max="12544" width="12.54296875" style="62" customWidth="1"/>
    <col min="12545" max="12545" width="32.7265625" style="62" customWidth="1"/>
    <col min="12546" max="12546" width="9.453125" style="62" customWidth="1"/>
    <col min="12547" max="12547" width="7.453125" style="62" customWidth="1"/>
    <col min="12548" max="12548" width="8" style="62" customWidth="1"/>
    <col min="12549" max="12555" width="8.1796875" style="62" customWidth="1"/>
    <col min="12556" max="12556" width="20.26953125" style="62" customWidth="1"/>
    <col min="12557" max="12557" width="27.1796875" style="62" customWidth="1"/>
    <col min="12558" max="12798" width="9.1796875" style="62"/>
    <col min="12799" max="12799" width="4.7265625" style="62" customWidth="1"/>
    <col min="12800" max="12800" width="12.54296875" style="62" customWidth="1"/>
    <col min="12801" max="12801" width="32.7265625" style="62" customWidth="1"/>
    <col min="12802" max="12802" width="9.453125" style="62" customWidth="1"/>
    <col min="12803" max="12803" width="7.453125" style="62" customWidth="1"/>
    <col min="12804" max="12804" width="8" style="62" customWidth="1"/>
    <col min="12805" max="12811" width="8.1796875" style="62" customWidth="1"/>
    <col min="12812" max="12812" width="20.26953125" style="62" customWidth="1"/>
    <col min="12813" max="12813" width="27.1796875" style="62" customWidth="1"/>
    <col min="12814" max="13054" width="9.1796875" style="62"/>
    <col min="13055" max="13055" width="4.7265625" style="62" customWidth="1"/>
    <col min="13056" max="13056" width="12.54296875" style="62" customWidth="1"/>
    <col min="13057" max="13057" width="32.7265625" style="62" customWidth="1"/>
    <col min="13058" max="13058" width="9.453125" style="62" customWidth="1"/>
    <col min="13059" max="13059" width="7.453125" style="62" customWidth="1"/>
    <col min="13060" max="13060" width="8" style="62" customWidth="1"/>
    <col min="13061" max="13067" width="8.1796875" style="62" customWidth="1"/>
    <col min="13068" max="13068" width="20.26953125" style="62" customWidth="1"/>
    <col min="13069" max="13069" width="27.1796875" style="62" customWidth="1"/>
    <col min="13070" max="13310" width="9.1796875" style="62"/>
    <col min="13311" max="13311" width="4.7265625" style="62" customWidth="1"/>
    <col min="13312" max="13312" width="12.54296875" style="62" customWidth="1"/>
    <col min="13313" max="13313" width="32.7265625" style="62" customWidth="1"/>
    <col min="13314" max="13314" width="9.453125" style="62" customWidth="1"/>
    <col min="13315" max="13315" width="7.453125" style="62" customWidth="1"/>
    <col min="13316" max="13316" width="8" style="62" customWidth="1"/>
    <col min="13317" max="13323" width="8.1796875" style="62" customWidth="1"/>
    <col min="13324" max="13324" width="20.26953125" style="62" customWidth="1"/>
    <col min="13325" max="13325" width="27.1796875" style="62" customWidth="1"/>
    <col min="13326" max="13566" width="9.1796875" style="62"/>
    <col min="13567" max="13567" width="4.7265625" style="62" customWidth="1"/>
    <col min="13568" max="13568" width="12.54296875" style="62" customWidth="1"/>
    <col min="13569" max="13569" width="32.7265625" style="62" customWidth="1"/>
    <col min="13570" max="13570" width="9.453125" style="62" customWidth="1"/>
    <col min="13571" max="13571" width="7.453125" style="62" customWidth="1"/>
    <col min="13572" max="13572" width="8" style="62" customWidth="1"/>
    <col min="13573" max="13579" width="8.1796875" style="62" customWidth="1"/>
    <col min="13580" max="13580" width="20.26953125" style="62" customWidth="1"/>
    <col min="13581" max="13581" width="27.1796875" style="62" customWidth="1"/>
    <col min="13582" max="13822" width="9.1796875" style="62"/>
    <col min="13823" max="13823" width="4.7265625" style="62" customWidth="1"/>
    <col min="13824" max="13824" width="12.54296875" style="62" customWidth="1"/>
    <col min="13825" max="13825" width="32.7265625" style="62" customWidth="1"/>
    <col min="13826" max="13826" width="9.453125" style="62" customWidth="1"/>
    <col min="13827" max="13827" width="7.453125" style="62" customWidth="1"/>
    <col min="13828" max="13828" width="8" style="62" customWidth="1"/>
    <col min="13829" max="13835" width="8.1796875" style="62" customWidth="1"/>
    <col min="13836" max="13836" width="20.26953125" style="62" customWidth="1"/>
    <col min="13837" max="13837" width="27.1796875" style="62" customWidth="1"/>
    <col min="13838" max="14078" width="9.1796875" style="62"/>
    <col min="14079" max="14079" width="4.7265625" style="62" customWidth="1"/>
    <col min="14080" max="14080" width="12.54296875" style="62" customWidth="1"/>
    <col min="14081" max="14081" width="32.7265625" style="62" customWidth="1"/>
    <col min="14082" max="14082" width="9.453125" style="62" customWidth="1"/>
    <col min="14083" max="14083" width="7.453125" style="62" customWidth="1"/>
    <col min="14084" max="14084" width="8" style="62" customWidth="1"/>
    <col min="14085" max="14091" width="8.1796875" style="62" customWidth="1"/>
    <col min="14092" max="14092" width="20.26953125" style="62" customWidth="1"/>
    <col min="14093" max="14093" width="27.1796875" style="62" customWidth="1"/>
    <col min="14094" max="14334" width="9.1796875" style="62"/>
    <col min="14335" max="14335" width="4.7265625" style="62" customWidth="1"/>
    <col min="14336" max="14336" width="12.54296875" style="62" customWidth="1"/>
    <col min="14337" max="14337" width="32.7265625" style="62" customWidth="1"/>
    <col min="14338" max="14338" width="9.453125" style="62" customWidth="1"/>
    <col min="14339" max="14339" width="7.453125" style="62" customWidth="1"/>
    <col min="14340" max="14340" width="8" style="62" customWidth="1"/>
    <col min="14341" max="14347" width="8.1796875" style="62" customWidth="1"/>
    <col min="14348" max="14348" width="20.26953125" style="62" customWidth="1"/>
    <col min="14349" max="14349" width="27.1796875" style="62" customWidth="1"/>
    <col min="14350" max="14590" width="9.1796875" style="62"/>
    <col min="14591" max="14591" width="4.7265625" style="62" customWidth="1"/>
    <col min="14592" max="14592" width="12.54296875" style="62" customWidth="1"/>
    <col min="14593" max="14593" width="32.7265625" style="62" customWidth="1"/>
    <col min="14594" max="14594" width="9.453125" style="62" customWidth="1"/>
    <col min="14595" max="14595" width="7.453125" style="62" customWidth="1"/>
    <col min="14596" max="14596" width="8" style="62" customWidth="1"/>
    <col min="14597" max="14603" width="8.1796875" style="62" customWidth="1"/>
    <col min="14604" max="14604" width="20.26953125" style="62" customWidth="1"/>
    <col min="14605" max="14605" width="27.1796875" style="62" customWidth="1"/>
    <col min="14606" max="14846" width="9.1796875" style="62"/>
    <col min="14847" max="14847" width="4.7265625" style="62" customWidth="1"/>
    <col min="14848" max="14848" width="12.54296875" style="62" customWidth="1"/>
    <col min="14849" max="14849" width="32.7265625" style="62" customWidth="1"/>
    <col min="14850" max="14850" width="9.453125" style="62" customWidth="1"/>
    <col min="14851" max="14851" width="7.453125" style="62" customWidth="1"/>
    <col min="14852" max="14852" width="8" style="62" customWidth="1"/>
    <col min="14853" max="14859" width="8.1796875" style="62" customWidth="1"/>
    <col min="14860" max="14860" width="20.26953125" style="62" customWidth="1"/>
    <col min="14861" max="14861" width="27.1796875" style="62" customWidth="1"/>
    <col min="14862" max="15102" width="9.1796875" style="62"/>
    <col min="15103" max="15103" width="4.7265625" style="62" customWidth="1"/>
    <col min="15104" max="15104" width="12.54296875" style="62" customWidth="1"/>
    <col min="15105" max="15105" width="32.7265625" style="62" customWidth="1"/>
    <col min="15106" max="15106" width="9.453125" style="62" customWidth="1"/>
    <col min="15107" max="15107" width="7.453125" style="62" customWidth="1"/>
    <col min="15108" max="15108" width="8" style="62" customWidth="1"/>
    <col min="15109" max="15115" width="8.1796875" style="62" customWidth="1"/>
    <col min="15116" max="15116" width="20.26953125" style="62" customWidth="1"/>
    <col min="15117" max="15117" width="27.1796875" style="62" customWidth="1"/>
    <col min="15118" max="15358" width="9.1796875" style="62"/>
    <col min="15359" max="15359" width="4.7265625" style="62" customWidth="1"/>
    <col min="15360" max="15360" width="12.54296875" style="62" customWidth="1"/>
    <col min="15361" max="15361" width="32.7265625" style="62" customWidth="1"/>
    <col min="15362" max="15362" width="9.453125" style="62" customWidth="1"/>
    <col min="15363" max="15363" width="7.453125" style="62" customWidth="1"/>
    <col min="15364" max="15364" width="8" style="62" customWidth="1"/>
    <col min="15365" max="15371" width="8.1796875" style="62" customWidth="1"/>
    <col min="15372" max="15372" width="20.26953125" style="62" customWidth="1"/>
    <col min="15373" max="15373" width="27.1796875" style="62" customWidth="1"/>
    <col min="15374" max="15614" width="9.1796875" style="62"/>
    <col min="15615" max="15615" width="4.7265625" style="62" customWidth="1"/>
    <col min="15616" max="15616" width="12.54296875" style="62" customWidth="1"/>
    <col min="15617" max="15617" width="32.7265625" style="62" customWidth="1"/>
    <col min="15618" max="15618" width="9.453125" style="62" customWidth="1"/>
    <col min="15619" max="15619" width="7.453125" style="62" customWidth="1"/>
    <col min="15620" max="15620" width="8" style="62" customWidth="1"/>
    <col min="15621" max="15627" width="8.1796875" style="62" customWidth="1"/>
    <col min="15628" max="15628" width="20.26953125" style="62" customWidth="1"/>
    <col min="15629" max="15629" width="27.1796875" style="62" customWidth="1"/>
    <col min="15630" max="15870" width="9.1796875" style="62"/>
    <col min="15871" max="15871" width="4.7265625" style="62" customWidth="1"/>
    <col min="15872" max="15872" width="12.54296875" style="62" customWidth="1"/>
    <col min="15873" max="15873" width="32.7265625" style="62" customWidth="1"/>
    <col min="15874" max="15874" width="9.453125" style="62" customWidth="1"/>
    <col min="15875" max="15875" width="7.453125" style="62" customWidth="1"/>
    <col min="15876" max="15876" width="8" style="62" customWidth="1"/>
    <col min="15877" max="15883" width="8.1796875" style="62" customWidth="1"/>
    <col min="15884" max="15884" width="20.26953125" style="62" customWidth="1"/>
    <col min="15885" max="15885" width="27.1796875" style="62" customWidth="1"/>
    <col min="15886" max="16126" width="9.1796875" style="62"/>
    <col min="16127" max="16127" width="4.7265625" style="62" customWidth="1"/>
    <col min="16128" max="16128" width="12.54296875" style="62" customWidth="1"/>
    <col min="16129" max="16129" width="32.7265625" style="62" customWidth="1"/>
    <col min="16130" max="16130" width="9.453125" style="62" customWidth="1"/>
    <col min="16131" max="16131" width="7.453125" style="62" customWidth="1"/>
    <col min="16132" max="16132" width="8" style="62" customWidth="1"/>
    <col min="16133" max="16139" width="8.1796875" style="62" customWidth="1"/>
    <col min="16140" max="16140" width="20.26953125" style="62" customWidth="1"/>
    <col min="16141" max="16141" width="27.1796875" style="62" customWidth="1"/>
    <col min="16142" max="16377" width="9.1796875" style="62"/>
    <col min="16378" max="16384" width="9.1796875" style="62" customWidth="1"/>
  </cols>
  <sheetData>
    <row r="1" spans="1:14" x14ac:dyDescent="0.3">
      <c r="A1" s="90"/>
      <c r="B1" s="59"/>
      <c r="C1" s="59"/>
      <c r="D1" s="59"/>
      <c r="E1" s="59"/>
      <c r="F1" s="60"/>
      <c r="G1" s="60"/>
      <c r="H1" s="60"/>
      <c r="I1" s="60"/>
      <c r="J1" s="60"/>
      <c r="K1" s="60"/>
      <c r="L1" s="61"/>
    </row>
    <row r="2" spans="1:14" s="63" customFormat="1" ht="14.5" x14ac:dyDescent="0.35">
      <c r="A2" s="91"/>
      <c r="B2"/>
      <c r="F2" s="64"/>
      <c r="G2" s="64"/>
      <c r="H2" s="64"/>
      <c r="I2" s="64"/>
      <c r="J2" s="64"/>
      <c r="K2" s="64"/>
      <c r="L2" s="66"/>
    </row>
    <row r="3" spans="1:14" s="63" customFormat="1" ht="14.5" x14ac:dyDescent="0.35">
      <c r="A3" s="91"/>
      <c r="B3"/>
      <c r="F3" s="64"/>
      <c r="G3" s="64"/>
      <c r="H3" s="64"/>
      <c r="I3" s="64"/>
      <c r="J3" s="64"/>
      <c r="K3" s="64"/>
      <c r="L3" s="66"/>
    </row>
    <row r="4" spans="1:14" s="63" customFormat="1" ht="14.5" x14ac:dyDescent="0.35">
      <c r="A4" s="91"/>
      <c r="B4"/>
      <c r="C4" s="68"/>
      <c r="D4" s="68"/>
      <c r="E4" s="62"/>
      <c r="F4" s="64"/>
      <c r="G4" s="64"/>
      <c r="H4" s="64"/>
      <c r="I4" s="64"/>
      <c r="L4" s="66"/>
    </row>
    <row r="5" spans="1:14" s="63" customFormat="1" ht="14.5" x14ac:dyDescent="0.35">
      <c r="A5" s="91"/>
      <c r="B5" s="7" t="s">
        <v>115</v>
      </c>
      <c r="C5" s="130"/>
      <c r="D5" s="130"/>
      <c r="F5" s="64"/>
      <c r="G5" s="64"/>
      <c r="H5" s="64"/>
      <c r="I5" s="64"/>
      <c r="J5" s="130" t="s">
        <v>34</v>
      </c>
      <c r="K5" s="64"/>
      <c r="L5" s="66"/>
    </row>
    <row r="6" spans="1:14" ht="13.5" thickBot="1" x14ac:dyDescent="0.35">
      <c r="A6" s="92"/>
      <c r="L6" s="69"/>
    </row>
    <row r="7" spans="1:14" ht="22" thickTop="1" thickBot="1" x14ac:dyDescent="0.35">
      <c r="A7" s="480" t="s">
        <v>0</v>
      </c>
      <c r="B7" s="481"/>
      <c r="C7" s="481"/>
      <c r="D7" s="481"/>
      <c r="E7" s="481"/>
      <c r="F7" s="481"/>
      <c r="G7" s="481"/>
      <c r="H7" s="481"/>
      <c r="I7" s="481"/>
      <c r="J7" s="481"/>
      <c r="K7" s="481"/>
      <c r="L7" s="482"/>
    </row>
    <row r="8" spans="1:14" s="74" customFormat="1" ht="20.149999999999999" customHeight="1" thickTop="1" x14ac:dyDescent="0.35">
      <c r="A8" s="489" t="s">
        <v>36</v>
      </c>
      <c r="B8" s="490"/>
      <c r="C8" s="164" t="s">
        <v>37</v>
      </c>
      <c r="D8" s="165" t="str">
        <f>COVER!D14</f>
        <v>PEKERJAAN ASESMENT KAMPUS B UNIVERSITAS  INTERNASIONAL SEMEN INDONESIA</v>
      </c>
      <c r="E8" s="70"/>
      <c r="F8" s="71"/>
      <c r="G8" s="72"/>
      <c r="H8" s="72"/>
      <c r="I8" s="139" t="s">
        <v>63</v>
      </c>
      <c r="J8" s="137">
        <v>1</v>
      </c>
      <c r="K8" s="72"/>
      <c r="L8" s="73"/>
    </row>
    <row r="9" spans="1:14" s="74" customFormat="1" ht="20.149999999999999" customHeight="1" x14ac:dyDescent="0.35">
      <c r="A9" s="491" t="s">
        <v>125</v>
      </c>
      <c r="B9" s="492"/>
      <c r="C9" s="164" t="s">
        <v>37</v>
      </c>
      <c r="D9" s="165" t="str">
        <f>COVER!P11</f>
        <v>PT. KONSULTA SEMEN GRESIK</v>
      </c>
      <c r="E9" s="70"/>
      <c r="F9" s="65"/>
      <c r="G9" s="75"/>
      <c r="H9" s="75"/>
      <c r="I9" s="140" t="s">
        <v>53</v>
      </c>
      <c r="J9" s="138" t="s">
        <v>126</v>
      </c>
      <c r="K9" s="75"/>
      <c r="L9" s="76"/>
    </row>
    <row r="10" spans="1:14" s="74" customFormat="1" ht="20.149999999999999" customHeight="1" thickBot="1" x14ac:dyDescent="0.4">
      <c r="A10" s="493" t="s">
        <v>185</v>
      </c>
      <c r="B10" s="494"/>
      <c r="C10" s="164" t="s">
        <v>37</v>
      </c>
      <c r="D10" s="165" t="str">
        <f>COVER!K5</f>
        <v>35/PBJ.12/01-01/08.26</v>
      </c>
      <c r="E10" s="70"/>
      <c r="F10" s="163"/>
      <c r="G10" s="163"/>
      <c r="H10" s="163"/>
      <c r="I10" s="163"/>
      <c r="J10" s="163"/>
      <c r="K10" s="163"/>
      <c r="L10" s="77"/>
    </row>
    <row r="11" spans="1:14" ht="24.4" customHeight="1" thickTop="1" x14ac:dyDescent="0.3">
      <c r="A11" s="483" t="s">
        <v>38</v>
      </c>
      <c r="B11" s="495" t="s">
        <v>20</v>
      </c>
      <c r="C11" s="495" t="s">
        <v>54</v>
      </c>
      <c r="D11" s="495" t="s">
        <v>55</v>
      </c>
      <c r="E11" s="498" t="s">
        <v>56</v>
      </c>
      <c r="F11" s="474" t="s">
        <v>61</v>
      </c>
      <c r="G11" s="475"/>
      <c r="H11" s="476"/>
      <c r="I11" s="474" t="s">
        <v>62</v>
      </c>
      <c r="J11" s="475"/>
      <c r="K11" s="476"/>
      <c r="L11" s="486" t="s">
        <v>52</v>
      </c>
    </row>
    <row r="12" spans="1:14" ht="24.4" customHeight="1" x14ac:dyDescent="0.3">
      <c r="A12" s="484"/>
      <c r="B12" s="496"/>
      <c r="C12" s="496"/>
      <c r="D12" s="496"/>
      <c r="E12" s="499"/>
      <c r="F12" s="477" t="s">
        <v>60</v>
      </c>
      <c r="G12" s="478"/>
      <c r="H12" s="479"/>
      <c r="I12" s="477" t="s">
        <v>60</v>
      </c>
      <c r="J12" s="478"/>
      <c r="K12" s="479"/>
      <c r="L12" s="487"/>
    </row>
    <row r="13" spans="1:14" ht="54.65" customHeight="1" thickBot="1" x14ac:dyDescent="0.35">
      <c r="A13" s="485"/>
      <c r="B13" s="497"/>
      <c r="C13" s="497"/>
      <c r="D13" s="497"/>
      <c r="E13" s="500"/>
      <c r="F13" s="136" t="s">
        <v>57</v>
      </c>
      <c r="G13" s="136" t="s">
        <v>58</v>
      </c>
      <c r="H13" s="136" t="s">
        <v>59</v>
      </c>
      <c r="I13" s="136" t="s">
        <v>67</v>
      </c>
      <c r="J13" s="136" t="s">
        <v>68</v>
      </c>
      <c r="K13" s="136" t="s">
        <v>69</v>
      </c>
      <c r="L13" s="488"/>
    </row>
    <row r="14" spans="1:14" ht="47.5" customHeight="1" thickTop="1" x14ac:dyDescent="0.3">
      <c r="A14" s="266"/>
      <c r="B14" s="306"/>
      <c r="C14" s="193"/>
      <c r="D14" s="193"/>
      <c r="E14" s="194"/>
      <c r="F14" s="83"/>
      <c r="G14" s="105"/>
      <c r="H14" s="105"/>
      <c r="I14" s="83"/>
      <c r="J14" s="105"/>
      <c r="K14" s="105"/>
      <c r="L14" s="78"/>
      <c r="M14" s="79"/>
      <c r="N14" s="79"/>
    </row>
    <row r="15" spans="1:14" ht="28" customHeight="1" x14ac:dyDescent="0.3">
      <c r="A15" s="95"/>
      <c r="B15" s="134"/>
      <c r="C15" s="166">
        <v>1</v>
      </c>
      <c r="D15" s="314" t="s">
        <v>128</v>
      </c>
      <c r="E15" s="310">
        <v>3</v>
      </c>
      <c r="F15" s="83"/>
      <c r="G15" s="275"/>
      <c r="H15" s="275">
        <f>F15+G15</f>
        <v>0</v>
      </c>
      <c r="I15" s="191">
        <f>F15/E15</f>
        <v>0</v>
      </c>
      <c r="J15" s="191">
        <f>G15/E15</f>
        <v>0</v>
      </c>
      <c r="K15" s="191">
        <f>I15+J15</f>
        <v>0</v>
      </c>
      <c r="L15" s="104"/>
      <c r="M15" s="79"/>
      <c r="N15" s="79"/>
    </row>
    <row r="16" spans="1:14" ht="18" customHeight="1" x14ac:dyDescent="0.3">
      <c r="A16" s="95"/>
      <c r="B16" s="134"/>
      <c r="C16" s="166"/>
      <c r="D16" s="314"/>
      <c r="E16" s="310"/>
      <c r="F16" s="83"/>
      <c r="G16" s="275"/>
      <c r="H16" s="275">
        <f t="shared" ref="H16:H27" si="0">F16+G16</f>
        <v>0</v>
      </c>
      <c r="I16" s="191" t="e">
        <f t="shared" ref="I16:I23" si="1">F16/E16</f>
        <v>#DIV/0!</v>
      </c>
      <c r="J16" s="191" t="e">
        <f t="shared" ref="J16:J23" si="2">G16/E16</f>
        <v>#DIV/0!</v>
      </c>
      <c r="K16" s="191" t="e">
        <f t="shared" ref="K16:K23" si="3">I16+J16</f>
        <v>#DIV/0!</v>
      </c>
      <c r="L16" s="104"/>
      <c r="M16" s="79"/>
      <c r="N16" s="79"/>
    </row>
    <row r="17" spans="1:17" ht="18" customHeight="1" x14ac:dyDescent="0.3">
      <c r="A17" s="95"/>
      <c r="B17" s="134"/>
      <c r="C17" s="166"/>
      <c r="D17" s="314"/>
      <c r="E17" s="310"/>
      <c r="F17" s="83"/>
      <c r="G17" s="275"/>
      <c r="H17" s="275">
        <f t="shared" si="0"/>
        <v>0</v>
      </c>
      <c r="I17" s="191" t="e">
        <f t="shared" si="1"/>
        <v>#DIV/0!</v>
      </c>
      <c r="J17" s="191" t="e">
        <f t="shared" si="2"/>
        <v>#DIV/0!</v>
      </c>
      <c r="K17" s="191" t="e">
        <f t="shared" si="3"/>
        <v>#DIV/0!</v>
      </c>
      <c r="L17" s="104"/>
      <c r="M17" s="79"/>
      <c r="N17" s="79"/>
    </row>
    <row r="18" spans="1:17" ht="18" customHeight="1" x14ac:dyDescent="0.3">
      <c r="A18" s="95"/>
      <c r="B18" s="134"/>
      <c r="C18" s="166"/>
      <c r="D18" s="314"/>
      <c r="E18" s="310"/>
      <c r="F18" s="83"/>
      <c r="G18" s="275"/>
      <c r="H18" s="275">
        <f t="shared" si="0"/>
        <v>0</v>
      </c>
      <c r="I18" s="191" t="e">
        <f t="shared" si="1"/>
        <v>#DIV/0!</v>
      </c>
      <c r="J18" s="191" t="e">
        <f t="shared" si="2"/>
        <v>#DIV/0!</v>
      </c>
      <c r="K18" s="191" t="e">
        <f t="shared" si="3"/>
        <v>#DIV/0!</v>
      </c>
      <c r="L18" s="104"/>
      <c r="M18" s="79"/>
      <c r="N18" s="79"/>
    </row>
    <row r="19" spans="1:17" ht="18" customHeight="1" x14ac:dyDescent="0.3">
      <c r="A19" s="95"/>
      <c r="B19" s="134"/>
      <c r="C19" s="166"/>
      <c r="D19" s="314"/>
      <c r="E19" s="310"/>
      <c r="F19" s="83"/>
      <c r="G19" s="275"/>
      <c r="H19" s="275">
        <f t="shared" si="0"/>
        <v>0</v>
      </c>
      <c r="I19" s="191" t="e">
        <f t="shared" si="1"/>
        <v>#DIV/0!</v>
      </c>
      <c r="J19" s="191" t="e">
        <f t="shared" si="2"/>
        <v>#DIV/0!</v>
      </c>
      <c r="K19" s="191" t="e">
        <f t="shared" si="3"/>
        <v>#DIV/0!</v>
      </c>
      <c r="L19" s="104"/>
      <c r="M19" s="79"/>
      <c r="N19" s="79"/>
    </row>
    <row r="20" spans="1:17" ht="18" customHeight="1" x14ac:dyDescent="0.3">
      <c r="A20" s="95"/>
      <c r="B20" s="134"/>
      <c r="C20" s="166"/>
      <c r="D20" s="314"/>
      <c r="E20" s="310"/>
      <c r="F20" s="83"/>
      <c r="G20" s="275"/>
      <c r="H20" s="275">
        <f t="shared" si="0"/>
        <v>0</v>
      </c>
      <c r="I20" s="191" t="e">
        <f t="shared" si="1"/>
        <v>#DIV/0!</v>
      </c>
      <c r="J20" s="191" t="e">
        <f t="shared" si="2"/>
        <v>#DIV/0!</v>
      </c>
      <c r="K20" s="191" t="e">
        <f t="shared" si="3"/>
        <v>#DIV/0!</v>
      </c>
      <c r="L20" s="104"/>
      <c r="M20" s="79"/>
      <c r="N20" s="79"/>
    </row>
    <row r="21" spans="1:17" ht="18" customHeight="1" x14ac:dyDescent="0.3">
      <c r="A21" s="95"/>
      <c r="B21" s="134"/>
      <c r="C21" s="166"/>
      <c r="D21" s="314"/>
      <c r="E21" s="310"/>
      <c r="F21" s="83"/>
      <c r="G21" s="275"/>
      <c r="H21" s="275">
        <f t="shared" si="0"/>
        <v>0</v>
      </c>
      <c r="I21" s="191" t="e">
        <f t="shared" si="1"/>
        <v>#DIV/0!</v>
      </c>
      <c r="J21" s="191" t="e">
        <f t="shared" si="2"/>
        <v>#DIV/0!</v>
      </c>
      <c r="K21" s="191" t="e">
        <f t="shared" si="3"/>
        <v>#DIV/0!</v>
      </c>
      <c r="L21" s="104"/>
      <c r="M21" s="79"/>
      <c r="N21" s="79"/>
    </row>
    <row r="22" spans="1:17" ht="18" customHeight="1" x14ac:dyDescent="0.3">
      <c r="A22" s="95"/>
      <c r="B22" s="134"/>
      <c r="C22" s="166"/>
      <c r="D22" s="314"/>
      <c r="E22" s="310"/>
      <c r="F22" s="83"/>
      <c r="G22" s="275"/>
      <c r="H22" s="275">
        <f t="shared" si="0"/>
        <v>0</v>
      </c>
      <c r="I22" s="191" t="e">
        <f t="shared" si="1"/>
        <v>#DIV/0!</v>
      </c>
      <c r="J22" s="191" t="e">
        <f t="shared" si="2"/>
        <v>#DIV/0!</v>
      </c>
      <c r="K22" s="191" t="e">
        <f t="shared" si="3"/>
        <v>#DIV/0!</v>
      </c>
      <c r="L22" s="104"/>
      <c r="M22" s="79"/>
      <c r="N22" s="79"/>
    </row>
    <row r="23" spans="1:17" ht="18" customHeight="1" x14ac:dyDescent="0.3">
      <c r="A23" s="95"/>
      <c r="B23" s="134"/>
      <c r="C23" s="166"/>
      <c r="D23" s="314"/>
      <c r="E23" s="310"/>
      <c r="F23" s="83"/>
      <c r="G23" s="275"/>
      <c r="H23" s="275">
        <f t="shared" si="0"/>
        <v>0</v>
      </c>
      <c r="I23" s="191" t="e">
        <f t="shared" si="1"/>
        <v>#DIV/0!</v>
      </c>
      <c r="J23" s="191" t="e">
        <f t="shared" si="2"/>
        <v>#DIV/0!</v>
      </c>
      <c r="K23" s="191" t="e">
        <f t="shared" si="3"/>
        <v>#DIV/0!</v>
      </c>
      <c r="L23" s="104"/>
      <c r="M23" s="79"/>
      <c r="N23" s="79"/>
    </row>
    <row r="24" spans="1:17" ht="18" customHeight="1" x14ac:dyDescent="0.3">
      <c r="A24" s="307"/>
      <c r="B24" s="306"/>
      <c r="C24" s="166"/>
      <c r="D24" s="135"/>
      <c r="E24" s="310"/>
      <c r="F24" s="83"/>
      <c r="G24" s="275"/>
      <c r="H24" s="275"/>
      <c r="I24" s="191"/>
      <c r="J24" s="191"/>
      <c r="K24" s="191"/>
      <c r="L24" s="80"/>
      <c r="M24" s="81"/>
      <c r="N24" s="82"/>
      <c r="Q24" s="62" t="s">
        <v>42</v>
      </c>
    </row>
    <row r="25" spans="1:17" ht="18" customHeight="1" x14ac:dyDescent="0.3">
      <c r="A25" s="267"/>
      <c r="B25" s="134"/>
      <c r="C25" s="166"/>
      <c r="D25" s="314"/>
      <c r="E25" s="310"/>
      <c r="F25" s="83"/>
      <c r="G25" s="275"/>
      <c r="H25" s="275">
        <f t="shared" si="0"/>
        <v>0</v>
      </c>
      <c r="I25" s="191" t="e">
        <f t="shared" ref="I25:I27" si="4">F25/E25</f>
        <v>#DIV/0!</v>
      </c>
      <c r="J25" s="191" t="e">
        <f t="shared" ref="J25:J27" si="5">G25/E25</f>
        <v>#DIV/0!</v>
      </c>
      <c r="K25" s="191" t="e">
        <f t="shared" ref="K25" si="6">I25+J25</f>
        <v>#DIV/0!</v>
      </c>
      <c r="L25" s="80"/>
      <c r="M25" s="79"/>
      <c r="N25" s="79"/>
      <c r="Q25" s="62" t="s">
        <v>43</v>
      </c>
    </row>
    <row r="26" spans="1:17" ht="18" customHeight="1" x14ac:dyDescent="0.3">
      <c r="A26" s="307"/>
      <c r="B26" s="306"/>
      <c r="C26" s="166"/>
      <c r="D26" s="135"/>
      <c r="E26" s="310"/>
      <c r="F26" s="83"/>
      <c r="G26" s="275"/>
      <c r="H26" s="275"/>
      <c r="I26" s="191"/>
      <c r="J26" s="191"/>
      <c r="K26" s="191"/>
      <c r="L26" s="80"/>
      <c r="M26" s="79"/>
      <c r="N26" s="79"/>
      <c r="Q26" s="62" t="s">
        <v>43</v>
      </c>
    </row>
    <row r="27" spans="1:17" ht="18" customHeight="1" x14ac:dyDescent="0.3">
      <c r="A27" s="95"/>
      <c r="B27" s="134"/>
      <c r="C27" s="166"/>
      <c r="D27" s="314"/>
      <c r="E27" s="310"/>
      <c r="F27" s="83"/>
      <c r="G27" s="275"/>
      <c r="H27" s="275">
        <f t="shared" si="0"/>
        <v>0</v>
      </c>
      <c r="I27" s="191" t="e">
        <f t="shared" si="4"/>
        <v>#DIV/0!</v>
      </c>
      <c r="J27" s="191" t="e">
        <f t="shared" si="5"/>
        <v>#DIV/0!</v>
      </c>
      <c r="K27" s="191" t="e">
        <f>I27+J27</f>
        <v>#DIV/0!</v>
      </c>
      <c r="L27" s="80"/>
      <c r="M27" s="79"/>
      <c r="N27" s="79"/>
    </row>
    <row r="28" spans="1:17" ht="18" customHeight="1" thickBot="1" x14ac:dyDescent="0.35">
      <c r="A28" s="268"/>
      <c r="B28" s="195"/>
      <c r="C28" s="195"/>
      <c r="D28" s="195"/>
      <c r="E28" s="195"/>
      <c r="F28" s="312"/>
      <c r="G28" s="312"/>
      <c r="H28" s="312"/>
      <c r="I28" s="274"/>
      <c r="J28" s="274"/>
      <c r="K28" s="274"/>
      <c r="L28" s="80"/>
      <c r="N28" s="129"/>
    </row>
    <row r="29" spans="1:17" ht="18" customHeight="1" thickTop="1" thickBot="1" x14ac:dyDescent="0.35">
      <c r="A29" s="196"/>
      <c r="B29" s="197" t="s">
        <v>28</v>
      </c>
      <c r="C29" s="198"/>
      <c r="D29" s="198"/>
      <c r="E29" s="187">
        <f>SUM(E15:E27)</f>
        <v>3</v>
      </c>
      <c r="F29" s="188">
        <f>SUM(F15:F28)</f>
        <v>0</v>
      </c>
      <c r="G29" s="188">
        <f>SUM(G15:G28)</f>
        <v>0</v>
      </c>
      <c r="H29" s="188">
        <f>SUM(H15:H27)</f>
        <v>0</v>
      </c>
      <c r="I29" s="189">
        <f>F29/E29</f>
        <v>0</v>
      </c>
      <c r="J29" s="192">
        <f>G29/E29</f>
        <v>0</v>
      </c>
      <c r="K29" s="189">
        <f>H29/E29</f>
        <v>0</v>
      </c>
      <c r="L29" s="190"/>
      <c r="N29" s="129"/>
    </row>
    <row r="30" spans="1:17" ht="15" customHeight="1" thickTop="1" x14ac:dyDescent="0.3">
      <c r="A30" s="148"/>
      <c r="B30" s="199" t="s">
        <v>64</v>
      </c>
      <c r="C30" s="142"/>
      <c r="D30" s="142"/>
      <c r="E30" s="142"/>
      <c r="F30" s="142"/>
      <c r="G30" s="142"/>
      <c r="H30" s="152">
        <f>H29</f>
        <v>0</v>
      </c>
      <c r="I30" s="151"/>
      <c r="J30" s="142"/>
      <c r="K30" s="142"/>
      <c r="L30" s="143"/>
    </row>
    <row r="31" spans="1:17" ht="15" customHeight="1" x14ac:dyDescent="0.3">
      <c r="A31" s="149"/>
      <c r="B31" s="144" t="s">
        <v>65</v>
      </c>
      <c r="C31" s="144"/>
      <c r="D31" s="144"/>
      <c r="E31" s="144"/>
      <c r="F31" s="144"/>
      <c r="G31" s="144"/>
      <c r="H31" s="153">
        <f>COVER!G19</f>
        <v>0</v>
      </c>
      <c r="I31" s="144"/>
      <c r="J31" s="144"/>
      <c r="K31" s="144"/>
      <c r="L31" s="145"/>
    </row>
    <row r="32" spans="1:17" ht="15" customHeight="1" thickBot="1" x14ac:dyDescent="0.35">
      <c r="A32" s="150"/>
      <c r="B32" s="146" t="s">
        <v>66</v>
      </c>
      <c r="C32" s="146"/>
      <c r="D32" s="146"/>
      <c r="E32" s="146"/>
      <c r="F32" s="146"/>
      <c r="G32" s="146"/>
      <c r="H32" s="154">
        <f>H30-H31</f>
        <v>0</v>
      </c>
      <c r="I32" s="146"/>
      <c r="J32" s="146"/>
      <c r="K32" s="146"/>
      <c r="L32" s="147"/>
    </row>
    <row r="33" spans="1:13" ht="15" customHeight="1" thickTop="1" x14ac:dyDescent="0.3">
      <c r="A33" s="141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155"/>
    </row>
    <row r="34" spans="1:13" s="74" customFormat="1" ht="15.5" x14ac:dyDescent="0.35">
      <c r="A34" s="141"/>
      <c r="B34" s="239" t="s">
        <v>50</v>
      </c>
      <c r="F34" s="240" t="s">
        <v>51</v>
      </c>
      <c r="G34" s="240"/>
      <c r="J34" s="241"/>
      <c r="K34" s="472" t="str">
        <f>COVER!P31</f>
        <v>Gresik, xxxxxxxxxx</v>
      </c>
      <c r="L34" s="473"/>
      <c r="M34" s="88"/>
    </row>
    <row r="35" spans="1:13" s="74" customFormat="1" ht="15.5" x14ac:dyDescent="0.35">
      <c r="A35" s="141"/>
      <c r="B35" s="239" t="str">
        <f>COVER!D32</f>
        <v>Semen Indonesia Foundation</v>
      </c>
      <c r="E35" s="239"/>
      <c r="F35" s="240" t="str">
        <f>COVER!J32</f>
        <v>Semen Indonesia Foundation</v>
      </c>
      <c r="G35" s="240"/>
      <c r="J35" s="241"/>
      <c r="K35" s="242" t="s">
        <v>34</v>
      </c>
      <c r="L35" s="243"/>
      <c r="M35" s="6"/>
    </row>
    <row r="36" spans="1:13" s="74" customFormat="1" ht="15.5" x14ac:dyDescent="0.35">
      <c r="A36" s="141"/>
      <c r="B36" s="239"/>
      <c r="E36" s="239"/>
      <c r="F36" s="240"/>
      <c r="G36" s="240"/>
      <c r="J36" s="239"/>
      <c r="K36" s="239"/>
      <c r="L36" s="243"/>
      <c r="M36" s="6"/>
    </row>
    <row r="37" spans="1:13" s="74" customFormat="1" ht="15.5" x14ac:dyDescent="0.35">
      <c r="A37" s="141"/>
      <c r="B37" s="239"/>
      <c r="E37" s="239"/>
      <c r="F37" s="240"/>
      <c r="G37" s="240"/>
      <c r="J37" s="239"/>
      <c r="K37" s="239"/>
      <c r="L37" s="243"/>
      <c r="M37" s="6"/>
    </row>
    <row r="38" spans="1:13" s="74" customFormat="1" ht="15.5" x14ac:dyDescent="0.35">
      <c r="A38" s="141"/>
      <c r="B38" s="239"/>
      <c r="E38" s="239"/>
      <c r="F38" s="240"/>
      <c r="G38" s="240"/>
      <c r="J38" s="239"/>
      <c r="K38" s="239"/>
      <c r="L38" s="243"/>
      <c r="M38" s="6"/>
    </row>
    <row r="39" spans="1:13" s="74" customFormat="1" ht="15.5" x14ac:dyDescent="0.35">
      <c r="A39" s="141"/>
      <c r="B39" s="239"/>
      <c r="E39" s="239"/>
      <c r="F39" s="240"/>
      <c r="G39" s="240"/>
      <c r="J39" s="239"/>
      <c r="K39" s="239"/>
      <c r="L39" s="243"/>
      <c r="M39" s="1"/>
    </row>
    <row r="40" spans="1:13" s="74" customFormat="1" ht="15.5" x14ac:dyDescent="0.35">
      <c r="A40" s="141"/>
      <c r="B40" s="239"/>
      <c r="E40" s="239"/>
      <c r="F40" s="240"/>
      <c r="G40" s="240"/>
      <c r="J40" s="239"/>
      <c r="K40" s="239"/>
      <c r="L40" s="243"/>
      <c r="M40" s="6"/>
    </row>
    <row r="41" spans="1:13" s="74" customFormat="1" ht="15.5" x14ac:dyDescent="0.35">
      <c r="A41" s="141"/>
      <c r="B41" s="244" t="str">
        <f>COVER!D36</f>
        <v>( Achmad Fauzan, SE.,MM )</v>
      </c>
      <c r="E41" s="239"/>
      <c r="F41" s="245" t="str">
        <f>COVER!J36</f>
        <v>( Febrina Puspita Sari )</v>
      </c>
      <c r="G41" s="245"/>
      <c r="J41" s="239"/>
      <c r="K41" s="246" t="str">
        <f>'CURVA S Rev 1'!T43</f>
        <v>( Satriawan Gigih Pideksa )</v>
      </c>
      <c r="L41" s="247"/>
      <c r="M41" s="12"/>
    </row>
    <row r="42" spans="1:13" ht="14.5" x14ac:dyDescent="0.3">
      <c r="A42" s="92"/>
      <c r="B42" s="87" t="str">
        <f>COVER!D37</f>
        <v>GM HC &amp; GA, Sarana, Governansi &amp; Internal Audit</v>
      </c>
      <c r="E42" s="87"/>
      <c r="F42" s="96" t="str">
        <f>COVER!J37</f>
        <v>Kadiv. Perencanaan Pengadaan dan Sarana Prasarana</v>
      </c>
      <c r="G42" s="96"/>
      <c r="J42" s="87"/>
      <c r="K42" s="248" t="s">
        <v>86</v>
      </c>
      <c r="L42" s="269"/>
      <c r="M42" s="1"/>
    </row>
    <row r="43" spans="1:13" ht="13.5" thickBot="1" x14ac:dyDescent="0.35">
      <c r="A43" s="270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271"/>
      <c r="M43" s="272"/>
    </row>
  </sheetData>
  <mergeCells count="15">
    <mergeCell ref="K34:L34"/>
    <mergeCell ref="F11:H11"/>
    <mergeCell ref="I11:K11"/>
    <mergeCell ref="I12:K12"/>
    <mergeCell ref="A7:L7"/>
    <mergeCell ref="A11:A13"/>
    <mergeCell ref="L11:L13"/>
    <mergeCell ref="A8:B8"/>
    <mergeCell ref="A9:B9"/>
    <mergeCell ref="A10:B10"/>
    <mergeCell ref="B11:B13"/>
    <mergeCell ref="C11:C13"/>
    <mergeCell ref="D11:D13"/>
    <mergeCell ref="E11:E13"/>
    <mergeCell ref="F12:H12"/>
  </mergeCells>
  <printOptions horizontalCentered="1"/>
  <pageMargins left="0.19685039370078741" right="0.19685039370078741" top="0.64" bottom="0.23622047244094488" header="3.937007874015748E-2" footer="3.937007874015748E-2"/>
  <pageSetup paperSize="9" scale="64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CURVA S</vt:lpstr>
      <vt:lpstr>CURVA S (2)</vt:lpstr>
      <vt:lpstr>CURVA S Rev 1</vt:lpstr>
      <vt:lpstr>RESUME HARIAN</vt:lpstr>
      <vt:lpstr>COVER!Print_Area</vt:lpstr>
      <vt:lpstr>'CURVA S'!Print_Area</vt:lpstr>
      <vt:lpstr>'CURVA S (2)'!Print_Area</vt:lpstr>
      <vt:lpstr>'CURVA S Rev 1'!Print_Area</vt:lpstr>
      <vt:lpstr>'RESUME HARIAN'!Print_Area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Gigih</cp:lastModifiedBy>
  <cp:lastPrinted>2026-02-19T07:48:58Z</cp:lastPrinted>
  <dcterms:created xsi:type="dcterms:W3CDTF">2021-06-24T02:36:01Z</dcterms:created>
  <dcterms:modified xsi:type="dcterms:W3CDTF">2026-08-28T03:44:23Z</dcterms:modified>
</cp:coreProperties>
</file>